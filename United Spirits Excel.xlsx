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worksheets/_rels/sheet15.xml.rels" ContentType="application/vnd.openxmlformats-package.relationships+xml"/>
  <Override PartName="/xl/worksheets/_rels/sheet5.xml.rels" ContentType="application/vnd.openxmlformats-package.relationships+xml"/>
  <Override PartName="/xl/worksheets/_rels/sheet8.xml.rels" ContentType="application/vnd.openxmlformats-package.relationships+xml"/>
  <Override PartName="/xl/worksheets/_rels/sheet1.xml.rels" ContentType="application/vnd.openxmlformats-package.relationships+xml"/>
  <Override PartName="/xl/worksheets/_rels/sheet6.xml.rels" ContentType="application/vnd.openxmlformats-package.relationship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6.xml" ContentType="application/vnd.openxmlformats-officedocument.spreadsheetml.worksheet+xml"/>
  <Override PartName="/xl/worksheets/sheet14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8"/>
  </bookViews>
  <sheets>
    <sheet name="DataShee" sheetId="1" state="visible" r:id="rId2"/>
    <sheet name="Scenarios" sheetId="2" state="visible" r:id="rId3"/>
    <sheet name="Assumptions" sheetId="3" state="visible" r:id="rId4"/>
    <sheet name="Working Capital Schedule" sheetId="4" state="visible" r:id="rId5"/>
    <sheet name="PL" sheetId="5" state="visible" r:id="rId6"/>
    <sheet name="BS" sheetId="6" state="visible" r:id="rId7"/>
    <sheet name="CS" sheetId="7" state="visible" r:id="rId8"/>
    <sheet name="Working Schedules" sheetId="8" state="visible" r:id="rId9"/>
    <sheet name="DCF" sheetId="9" state="visible" r:id="rId10"/>
    <sheet name="DCF Revised" sheetId="10" state="visible" r:id="rId11"/>
    <sheet name="Beta Calculation" sheetId="11" state="visible" r:id="rId12"/>
    <sheet name="Company &amp; Market Insights" sheetId="12" state="visible" r:id="rId13"/>
    <sheet name="Cashflow" sheetId="13" state="visible" r:id="rId14"/>
    <sheet name="Balance Sheet" sheetId="14" state="visible" r:id="rId15"/>
    <sheet name="Notes to accounts" sheetId="15" state="visible" r:id="rId16"/>
    <sheet name="P&amp;L" sheetId="16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L19" authorId="0">
      <text>
        <r>
          <rPr>
            <sz val="11"/>
            <color rgb="FF000000"/>
            <rFont val="Calibri"/>
            <family val="2"/>
            <charset val="1"/>
          </rPr>
          <t xml:space="preserve">Estimated as 6.5% of 2903 of opening cash
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M38" authorId="0">
      <text>
        <r>
          <rPr>
            <sz val="11"/>
            <color rgb="FF000000"/>
            <rFont val="Calibri"/>
            <family val="2"/>
            <charset val="1"/>
          </rPr>
          <t xml:space="preserve">calculated by subtracting the total current and Fixed assests from the total of liabilities and equities</t>
        </r>
      </text>
    </comment>
    <comment ref="N38" authorId="0">
      <text>
        <r>
          <rPr>
            <sz val="11"/>
            <color rgb="FF000000"/>
            <rFont val="Calibri"/>
            <family val="2"/>
            <charset val="1"/>
          </rPr>
          <t xml:space="preserve">calculated by subtracting the total current and Fixed assests from the total of liabilities and equities</t>
        </r>
      </text>
    </comment>
    <comment ref="O38" authorId="0">
      <text>
        <r>
          <rPr>
            <sz val="11"/>
            <color rgb="FF000000"/>
            <rFont val="Calibri"/>
            <family val="2"/>
            <charset val="1"/>
          </rPr>
          <t xml:space="preserve">calculated by subtracting the total current and Fixed assests from the total of liabilities and equities</t>
        </r>
      </text>
    </comment>
    <comment ref="P38" authorId="0">
      <text/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G8" authorId="0">
      <text>
        <r>
          <rPr>
            <sz val="11"/>
            <color rgb="FF000000"/>
            <rFont val="Calibri"/>
            <family val="2"/>
            <charset val="1"/>
          </rPr>
          <t xml:space="preserve">calculated
</t>
        </r>
      </text>
    </comment>
    <comment ref="G52" authorId="0">
      <text>
        <r>
          <rPr>
            <sz val="11"/>
            <color rgb="FF000000"/>
            <rFont val="Calibri"/>
            <family val="2"/>
            <charset val="1"/>
          </rPr>
          <t xml:space="preserve">Estimated 2.2 % of Sales </t>
        </r>
      </text>
    </comment>
    <comment ref="G66" authorId="0">
      <text>
        <r>
          <rPr>
            <sz val="11"/>
            <color rgb="FF000000"/>
            <rFont val="Calibri"/>
            <family val="2"/>
            <charset val="1"/>
          </rPr>
          <t xml:space="preserve">Shivam:
estimated and decline is due to sale of fixed asset</t>
        </r>
      </text>
    </comment>
    <comment ref="G78" authorId="0">
      <text>
        <r>
          <rPr>
            <sz val="11"/>
            <color rgb="FF000000"/>
            <rFont val="Calibri"/>
            <family val="2"/>
            <charset val="1"/>
          </rPr>
          <t xml:space="preserve">Estimated as the clsoing was 76 and information is not sufficient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G44" authorId="0">
      <text>
        <r>
          <rPr>
            <sz val="11"/>
            <color rgb="FF000000"/>
            <rFont val="Calibri"/>
            <family val="2"/>
            <charset val="1"/>
          </rPr>
          <t xml:space="preserve">Shivam:
Estimated as a percentage of median OF LAST 4 YEARS</t>
        </r>
      </text>
    </comment>
  </commentList>
</comments>
</file>

<file path=xl/sharedStrings.xml><?xml version="1.0" encoding="utf-8"?>
<sst xmlns="http://schemas.openxmlformats.org/spreadsheetml/2006/main" count="688" uniqueCount="492">
  <si>
    <t xml:space="preserve">COMPANY NAME</t>
  </si>
  <si>
    <t xml:space="preserve">UNITED SPIRITS LTD</t>
  </si>
  <si>
    <t xml:space="preserve">LATEST VERSION</t>
  </si>
  <si>
    <t xml:space="preserve">PLEASE DO NOT MAKE ANY CHANGES TO THIS SHEET</t>
  </si>
  <si>
    <t xml:space="preserve">CURRENT VERSION</t>
  </si>
  <si>
    <t xml:space="preserve">META</t>
  </si>
  <si>
    <t xml:space="preserve">Number of shares</t>
  </si>
  <si>
    <t xml:space="preserve">Face Value</t>
  </si>
  <si>
    <t xml:space="preserve">Current Price</t>
  </si>
  <si>
    <t xml:space="preserve">Market Capitalization</t>
  </si>
  <si>
    <t xml:space="preserve">PROFIT &amp; LOSS</t>
  </si>
  <si>
    <t xml:space="preserve">Report Date</t>
  </si>
  <si>
    <t xml:space="preserve">Sales</t>
  </si>
  <si>
    <t xml:space="preserve">Raw Material Cost</t>
  </si>
  <si>
    <t xml:space="preserve">Change in Inventory</t>
  </si>
  <si>
    <t xml:space="preserve">Power and Fuel</t>
  </si>
  <si>
    <t xml:space="preserve">Other Mfr. Exp</t>
  </si>
  <si>
    <t xml:space="preserve">Employee Cost</t>
  </si>
  <si>
    <t xml:space="preserve">Selling and admin</t>
  </si>
  <si>
    <t xml:space="preserve">Other Expenses</t>
  </si>
  <si>
    <t xml:space="preserve">Other Income</t>
  </si>
  <si>
    <t xml:space="preserve">Depreciation</t>
  </si>
  <si>
    <t xml:space="preserve">Interest</t>
  </si>
  <si>
    <t xml:space="preserve">Profit before tax</t>
  </si>
  <si>
    <t xml:space="preserve">Tax</t>
  </si>
  <si>
    <t xml:space="preserve">Net profit</t>
  </si>
  <si>
    <t xml:space="preserve">Dividend Amount</t>
  </si>
  <si>
    <t xml:space="preserve">Quarters</t>
  </si>
  <si>
    <t xml:space="preserve">Expenses</t>
  </si>
  <si>
    <t xml:space="preserve">Operating Profit</t>
  </si>
  <si>
    <t xml:space="preserve">BALANCE SHEET</t>
  </si>
  <si>
    <t xml:space="preserve">Equity Share Capital</t>
  </si>
  <si>
    <t xml:space="preserve">Reserves</t>
  </si>
  <si>
    <t xml:space="preserve">Borrowings</t>
  </si>
  <si>
    <t xml:space="preserve">Other Liabilities</t>
  </si>
  <si>
    <t xml:space="preserve">Total</t>
  </si>
  <si>
    <t xml:space="preserve">Net Block</t>
  </si>
  <si>
    <t xml:space="preserve">Capital Work in Progress</t>
  </si>
  <si>
    <t xml:space="preserve">Investments</t>
  </si>
  <si>
    <t xml:space="preserve">Other Assets</t>
  </si>
  <si>
    <t xml:space="preserve">Receivables</t>
  </si>
  <si>
    <t xml:space="preserve">Inventory</t>
  </si>
  <si>
    <t xml:space="preserve">Cash &amp; Bank</t>
  </si>
  <si>
    <t xml:space="preserve">No. of Equity Shares</t>
  </si>
  <si>
    <t xml:space="preserve">New Bonus Shares</t>
  </si>
  <si>
    <t xml:space="preserve">Face value</t>
  </si>
  <si>
    <t xml:space="preserve">CASH FLOW:</t>
  </si>
  <si>
    <t xml:space="preserve">Cash from Operating Activity</t>
  </si>
  <si>
    <t xml:space="preserve">Cash from Investing Activity</t>
  </si>
  <si>
    <t xml:space="preserve">Cash from Financing Activity</t>
  </si>
  <si>
    <t xml:space="preserve">Net Cash Flow</t>
  </si>
  <si>
    <t xml:space="preserve">PRICE:</t>
  </si>
  <si>
    <t xml:space="preserve">DERIVED:</t>
  </si>
  <si>
    <t xml:space="preserve">Adjusted Equity Shares in Cr</t>
  </si>
  <si>
    <t xml:space="preserve">United Spirits Economic Scenarios</t>
  </si>
  <si>
    <t xml:space="preserve">Scenario Switch</t>
  </si>
  <si>
    <t xml:space="preserve">Sales Growth % Scenarios</t>
  </si>
  <si>
    <t xml:space="preserve">Sales Growth %</t>
  </si>
  <si>
    <t xml:space="preserve">Base</t>
  </si>
  <si>
    <t xml:space="preserve">Best</t>
  </si>
  <si>
    <t xml:space="preserve">Bear</t>
  </si>
  <si>
    <t xml:space="preserve">Gross Profit Margin % Scenarios</t>
  </si>
  <si>
    <t xml:space="preserve">Gross Profi Margin %</t>
  </si>
  <si>
    <t xml:space="preserve">Assumptions</t>
  </si>
  <si>
    <t xml:space="preserve">Particulars</t>
  </si>
  <si>
    <t xml:space="preserve">Cost of Goods Sold(COGS)</t>
  </si>
  <si>
    <t xml:space="preserve">Employee Cost as % of Sales</t>
  </si>
  <si>
    <t xml:space="preserve">Median of Last 10 Years</t>
  </si>
  <si>
    <t xml:space="preserve">Selling and admin as % of Sales</t>
  </si>
  <si>
    <t xml:space="preserve">Interest Income</t>
  </si>
  <si>
    <t xml:space="preserve">Market Yield on MFs, Depoists, investments</t>
  </si>
  <si>
    <t xml:space="preserve">Tax Rate</t>
  </si>
  <si>
    <t xml:space="preserve">Dividend Payout Ratio</t>
  </si>
  <si>
    <t xml:space="preserve">Constant FY 26</t>
  </si>
  <si>
    <t xml:space="preserve">Total capex as % of NSV</t>
  </si>
  <si>
    <t xml:space="preserve">Median of last 5 years</t>
  </si>
  <si>
    <t xml:space="preserve">PPE Capex as % of NSV</t>
  </si>
  <si>
    <t xml:space="preserve">Median of last 4 years</t>
  </si>
  <si>
    <t xml:space="preserve">Amortisation as % of Opening Balance</t>
  </si>
  <si>
    <t xml:space="preserve">ROU additions as % of NSV</t>
  </si>
  <si>
    <t xml:space="preserve">ROU amortisation as % of (opening + 1/2 additions)</t>
  </si>
  <si>
    <t xml:space="preserve">Depreciation useful life</t>
  </si>
  <si>
    <t xml:space="preserve">1/6.2%(Average of last 5 years)</t>
  </si>
  <si>
    <t xml:space="preserve">Principal Reyament</t>
  </si>
  <si>
    <t xml:space="preserve">Historical median of last 4 years</t>
  </si>
  <si>
    <t xml:space="preserve">Interest rate on lease liabilities</t>
  </si>
  <si>
    <t xml:space="preserve">Historical median intt rate of last 4 years</t>
  </si>
  <si>
    <t xml:space="preserve">Interest rate on borrowings</t>
  </si>
  <si>
    <t xml:space="preserve">Interest others</t>
  </si>
  <si>
    <t xml:space="preserve">Trade Payables</t>
  </si>
  <si>
    <t xml:space="preserve">Median of last 3 Years</t>
  </si>
  <si>
    <t xml:space="preserve">ST Provisions as % of Sales</t>
  </si>
  <si>
    <t xml:space="preserve">Average of Last 9 years</t>
  </si>
  <si>
    <t xml:space="preserve">Other Current Liabilities as % of Sales</t>
  </si>
  <si>
    <t xml:space="preserve">Median of last 10years</t>
  </si>
  <si>
    <t xml:space="preserve">Accounts Receivables days</t>
  </si>
  <si>
    <t xml:space="preserve">Historical Median of Last 10 Years</t>
  </si>
  <si>
    <t xml:space="preserve">Inventory Days</t>
  </si>
  <si>
    <t xml:space="preserve">Other Current assets as % of Sales</t>
  </si>
  <si>
    <t xml:space="preserve">Working Capital Schedule</t>
  </si>
  <si>
    <t xml:space="preserve">Revenue</t>
  </si>
  <si>
    <t xml:space="preserve">COGS</t>
  </si>
  <si>
    <t xml:space="preserve">Accounts Receivables</t>
  </si>
  <si>
    <t xml:space="preserve">Receivables Days</t>
  </si>
  <si>
    <t xml:space="preserve">Payable Days</t>
  </si>
  <si>
    <t xml:space="preserve">Total Current Assets (ex-cash)</t>
  </si>
  <si>
    <t xml:space="preserve">Total Current Liabilities</t>
  </si>
  <si>
    <t xml:space="preserve">WC</t>
  </si>
  <si>
    <t xml:space="preserve">Change In NWC</t>
  </si>
  <si>
    <t xml:space="preserve">x</t>
  </si>
  <si>
    <t xml:space="preserve">Income Statement</t>
  </si>
  <si>
    <t xml:space="preserve">(figures in INR Cr.)</t>
  </si>
  <si>
    <t xml:space="preserve">Total COGS</t>
  </si>
  <si>
    <t xml:space="preserve">Gross Profit</t>
  </si>
  <si>
    <t xml:space="preserve">Operating Expenes</t>
  </si>
  <si>
    <t xml:space="preserve">Total Operating Expenses</t>
  </si>
  <si>
    <t xml:space="preserve">EBITDA</t>
  </si>
  <si>
    <t xml:space="preserve">Depreciation &amp; Amortization</t>
  </si>
  <si>
    <t xml:space="preserve">EBIT</t>
  </si>
  <si>
    <t xml:space="preserve">Other Income(Inc Interest)</t>
  </si>
  <si>
    <t xml:space="preserve">Exceptional Items</t>
  </si>
  <si>
    <t xml:space="preserve">Interest Paid</t>
  </si>
  <si>
    <t xml:space="preserve">Interest Received</t>
  </si>
  <si>
    <t xml:space="preserve">Profit Before Tax (PBT)</t>
  </si>
  <si>
    <t xml:space="preserve">Adjustments</t>
  </si>
  <si>
    <t xml:space="preserve">Profit After Tax (PAT)</t>
  </si>
  <si>
    <t xml:space="preserve">Balance Sheet</t>
  </si>
  <si>
    <t xml:space="preserve">Equities &amp; Liablilities</t>
  </si>
  <si>
    <t xml:space="preserve">Shareholders' Fund</t>
  </si>
  <si>
    <t xml:space="preserve">Share Capital</t>
  </si>
  <si>
    <t xml:space="preserve">Reserve &amp; Surplus</t>
  </si>
  <si>
    <t xml:space="preserve">PAT</t>
  </si>
  <si>
    <t xml:space="preserve">Dividend Payout</t>
  </si>
  <si>
    <t xml:space="preserve">Total Shareholders' Fund</t>
  </si>
  <si>
    <t xml:space="preserve">Non-Current Liabilities</t>
  </si>
  <si>
    <t xml:space="preserve">Long Term Borrowings</t>
  </si>
  <si>
    <t xml:space="preserve">Deferred Tax Liabilities [Net]</t>
  </si>
  <si>
    <t xml:space="preserve">Lease Liabilities</t>
  </si>
  <si>
    <t xml:space="preserve">Total Non-Current Liabilities</t>
  </si>
  <si>
    <t xml:space="preserve">Current Liabilities</t>
  </si>
  <si>
    <t xml:space="preserve">Short Term Borrowings</t>
  </si>
  <si>
    <t xml:space="preserve">ST Provisions</t>
  </si>
  <si>
    <t xml:space="preserve">Other Current Liabilities</t>
  </si>
  <si>
    <t xml:space="preserve">Total Equity &amp; Liabilities</t>
  </si>
  <si>
    <t xml:space="preserve">Assets</t>
  </si>
  <si>
    <t xml:space="preserve">Non-Current Assets</t>
  </si>
  <si>
    <t xml:space="preserve">Fixed Assets</t>
  </si>
  <si>
    <t xml:space="preserve">Property Plant &amp; Equip</t>
  </si>
  <si>
    <t xml:space="preserve">ROU Assets</t>
  </si>
  <si>
    <t xml:space="preserve">Intangible Assets</t>
  </si>
  <si>
    <t xml:space="preserve">Goodwill</t>
  </si>
  <si>
    <t xml:space="preserve">Total Fixed Assets</t>
  </si>
  <si>
    <t xml:space="preserve">Other Non Current Assets</t>
  </si>
  <si>
    <t xml:space="preserve">Balancing line: TotalE&amp;L - Fixed - CurrentAssets. Was hardcoded plug; now articulates with cash flow.</t>
  </si>
  <si>
    <t xml:space="preserve">Total Non Current Assets</t>
  </si>
  <si>
    <t xml:space="preserve">Current Assets</t>
  </si>
  <si>
    <t xml:space="preserve">Inventories</t>
  </si>
  <si>
    <t xml:space="preserve">Other Current Assets</t>
  </si>
  <si>
    <t xml:space="preserve">Cash Balance(Incl. Bank and Current Investments)</t>
  </si>
  <si>
    <t xml:space="preserve">Total Current Assets</t>
  </si>
  <si>
    <t xml:space="preserve">Total Assets</t>
  </si>
  <si>
    <t xml:space="preserve">Test</t>
  </si>
  <si>
    <t xml:space="preserve">Cash Flow Statement</t>
  </si>
  <si>
    <t xml:space="preserve">Net Profit Aafter Tax (PAT)</t>
  </si>
  <si>
    <t xml:space="preserve">D&amp;A</t>
  </si>
  <si>
    <t xml:space="preserve">FIX: row 8 (forecast) strips interest from operating CF (interest shown once, in CFI/CFF).</t>
  </si>
  <si>
    <t xml:space="preserve">+/- in other non cash items</t>
  </si>
  <si>
    <t xml:space="preserve">+/- change in NWC</t>
  </si>
  <si>
    <t xml:space="preserve">Cash flow from Operating Activities</t>
  </si>
  <si>
    <t xml:space="preserve">Capex</t>
  </si>
  <si>
    <t xml:space="preserve">Others</t>
  </si>
  <si>
    <t xml:space="preserve">Cash flow from investing activities</t>
  </si>
  <si>
    <t xml:space="preserve">Repayment Lease Liabilities</t>
  </si>
  <si>
    <t xml:space="preserve">Dividend Paid</t>
  </si>
  <si>
    <t xml:space="preserve">Cash flow from Financing activities</t>
  </si>
  <si>
    <t xml:space="preserve">Net change in Cash</t>
  </si>
  <si>
    <t xml:space="preserve">Opening Cash Balance</t>
  </si>
  <si>
    <t xml:space="preserve">Closing Cash Balance</t>
  </si>
  <si>
    <t xml:space="preserve">Working Schedules</t>
  </si>
  <si>
    <t xml:space="preserve">Debt Schedule - Lease Liabilities</t>
  </si>
  <si>
    <t xml:space="preserve">Opening Lease Liability</t>
  </si>
  <si>
    <t xml:space="preserve">Additions: New Leases</t>
  </si>
  <si>
    <t xml:space="preserve">Less: Principal Repayment</t>
  </si>
  <si>
    <t xml:space="preserve">Closing Lease Liability</t>
  </si>
  <si>
    <t xml:space="preserve">Debt Schedule - Working Capital loans/Others</t>
  </si>
  <si>
    <t xml:space="preserve">Opening</t>
  </si>
  <si>
    <t xml:space="preserve">(Repayment)/Net proceeds</t>
  </si>
  <si>
    <t xml:space="preserve">Closing</t>
  </si>
  <si>
    <t xml:space="preserve">Total Debt</t>
  </si>
  <si>
    <t xml:space="preserve">Finance cost Schedule</t>
  </si>
  <si>
    <t xml:space="preserve">Interest on lease liabilities</t>
  </si>
  <si>
    <t xml:space="preserve">Interest on Borrowings</t>
  </si>
  <si>
    <t xml:space="preserve">Interest Others</t>
  </si>
  <si>
    <t xml:space="preserve">CWIP Schedule</t>
  </si>
  <si>
    <t xml:space="preserve">Additions(Capex)</t>
  </si>
  <si>
    <t xml:space="preserve">Capitalised</t>
  </si>
  <si>
    <t xml:space="preserve">Right of Use of Assets Schedule</t>
  </si>
  <si>
    <t xml:space="preserve">Payments of lease liabilities</t>
  </si>
  <si>
    <t xml:space="preserve">Interest paid</t>
  </si>
  <si>
    <t xml:space="preserve">Opening ROU assets</t>
  </si>
  <si>
    <t xml:space="preserve">Finance costs (P&amp;L)</t>
  </si>
  <si>
    <t xml:space="preserve">Additions</t>
  </si>
  <si>
    <t xml:space="preserve">Termination/Transfer</t>
  </si>
  <si>
    <t xml:space="preserve">Closing ROU assets</t>
  </si>
  <si>
    <t xml:space="preserve">Property Plant &amp; Equipment Schedule</t>
  </si>
  <si>
    <t xml:space="preserve">Gross PPE Opening</t>
  </si>
  <si>
    <t xml:space="preserve">Disposal/transfer</t>
  </si>
  <si>
    <t xml:space="preserve">Accumulated Depreciation</t>
  </si>
  <si>
    <t xml:space="preserve">Total Depreciation &amp; Amortisation</t>
  </si>
  <si>
    <t xml:space="preserve">Intangible Assests Schedule</t>
  </si>
  <si>
    <t xml:space="preserve">Gross IA Opening</t>
  </si>
  <si>
    <t xml:space="preserve">Accumulated Amortisation</t>
  </si>
  <si>
    <t xml:space="preserve">Amortisation Expense</t>
  </si>
  <si>
    <t xml:space="preserve">Depreciation on PPE Schedule</t>
  </si>
  <si>
    <t xml:space="preserve">Useful life</t>
  </si>
  <si>
    <t xml:space="preserve">Dep year 1 capex</t>
  </si>
  <si>
    <t xml:space="preserve">Dep year 2 capex</t>
  </si>
  <si>
    <t xml:space="preserve">Dep year 3 capex</t>
  </si>
  <si>
    <t xml:space="preserve">Dep year 4 capex</t>
  </si>
  <si>
    <t xml:space="preserve">Depreciation on ROU Schedule</t>
  </si>
  <si>
    <t xml:space="preserve"> </t>
  </si>
  <si>
    <t xml:space="preserve">Deprecition on ROU</t>
  </si>
  <si>
    <t xml:space="preserve">Amortization on Intangible assets</t>
  </si>
  <si>
    <t xml:space="preserve">DCF Valuation</t>
  </si>
  <si>
    <t xml:space="preserve">WACC Calculation</t>
  </si>
  <si>
    <t xml:space="preserve">Risk Free Rate</t>
  </si>
  <si>
    <t xml:space="preserve">(10-yr G-Sec)</t>
  </si>
  <si>
    <t xml:space="preserve">Market Risk Premium</t>
  </si>
  <si>
    <t xml:space="preserve">Rm-Rf</t>
  </si>
  <si>
    <t xml:space="preserve">Beta</t>
  </si>
  <si>
    <t xml:space="preserve">CAPM</t>
  </si>
  <si>
    <t xml:space="preserve">Rf​+β×ERP</t>
  </si>
  <si>
    <t xml:space="preserve">NOPAT</t>
  </si>
  <si>
    <t xml:space="preserve">WACC</t>
  </si>
  <si>
    <t xml:space="preserve">Debt is almost negligible, therefore no impact on WACC</t>
  </si>
  <si>
    <t xml:space="preserve">Dep &amp; Amor.</t>
  </si>
  <si>
    <t xml:space="preserve">Changes in NWC</t>
  </si>
  <si>
    <t xml:space="preserve">Free Cash Flow</t>
  </si>
  <si>
    <t xml:space="preserve">Discount Period</t>
  </si>
  <si>
    <t xml:space="preserve">PV of FCF</t>
  </si>
  <si>
    <t xml:space="preserve">Sensitivity Analysis</t>
  </si>
  <si>
    <t xml:space="preserve">Terminal Growth Rate (g)</t>
  </si>
  <si>
    <t xml:space="preserve">Terminal Year FCF</t>
  </si>
  <si>
    <t xml:space="preserve">Terminal Value</t>
  </si>
  <si>
    <t xml:space="preserve">PV of Terminal Value</t>
  </si>
  <si>
    <t xml:space="preserve">Sum of OV of FCF</t>
  </si>
  <si>
    <t xml:space="preserve">Enterprise Value</t>
  </si>
  <si>
    <t xml:space="preserve">Cash</t>
  </si>
  <si>
    <t xml:space="preserve">Debt</t>
  </si>
  <si>
    <t xml:space="preserve">Equity Value</t>
  </si>
  <si>
    <t xml:space="preserve">Shares Outstanding</t>
  </si>
  <si>
    <t xml:space="preserve">Per Share Value</t>
  </si>
  <si>
    <t xml:space="preserve">United Spirits — Revised 2-Stage DCF (corrected)</t>
  </si>
  <si>
    <t xml:space="preserve">Implements: R1 beta vs market (not FMCG) | R2 10-yr horizon | R3 margin uplift | R4 steady-state capex=D&amp;A | R5 lease (Ind-AS 116) consistency | R6 WACC inputs. INR Cr unless stated.</t>
  </si>
  <si>
    <t xml:space="preserve">WACC &amp; Global Inputs</t>
  </si>
  <si>
    <t xml:space="preserve">Risk-free rate (10-yr G-Sec)</t>
  </si>
  <si>
    <t xml:space="preserve">input</t>
  </si>
  <si>
    <t xml:space="preserve">Equity Risk Premium (Rm-Rf)</t>
  </si>
  <si>
    <t xml:space="preserve">input — std India ~4.5-5.0%</t>
  </si>
  <si>
    <t xml:space="preserve">Beta (vs NIFTY 50)</t>
  </si>
  <si>
    <t xml:space="preserve">R1: corrected. FMCG-index regression (0.92) was wrong benchmark</t>
  </si>
  <si>
    <t xml:space="preserve">Cost of Equity (CAPM)</t>
  </si>
  <si>
    <t xml:space="preserve">Rf + β×ERP</t>
  </si>
  <si>
    <t xml:space="preserve">debt negligible → WACC≈Ke</t>
  </si>
  <si>
    <t xml:space="preserve">Terminal growth (g)</t>
  </si>
  <si>
    <t xml:space="preserve">Tax rate</t>
  </si>
  <si>
    <t xml:space="preserve">D&amp;A % of sales (FY30 steady)</t>
  </si>
  <si>
    <t xml:space="preserve">for steady-state terminal</t>
  </si>
  <si>
    <t xml:space="preserve">NWC % of sales (FY30)</t>
  </si>
  <si>
    <t xml:space="preserve">FCFF Build-up</t>
  </si>
  <si>
    <t xml:space="preserve">Stage</t>
  </si>
  <si>
    <t xml:space="preserve">Explicit (model)</t>
  </si>
  <si>
    <t xml:space="preserve">Fade</t>
  </si>
  <si>
    <t xml:space="preserve">Sales growth %</t>
  </si>
  <si>
    <t xml:space="preserve">EBITDA margin %</t>
  </si>
  <si>
    <t xml:space="preserve">NOPAT  = EBIT×(1-tax)</t>
  </si>
  <si>
    <t xml:space="preserve">(+) Depreciation &amp; Amortisation</t>
  </si>
  <si>
    <t xml:space="preserve">(–) Capex (PP&amp;E + intangible)</t>
  </si>
  <si>
    <t xml:space="preserve">(–) New lease (ROU) additions</t>
  </si>
  <si>
    <t xml:space="preserve">(–) Change in Net Working Capital</t>
  </si>
  <si>
    <t xml:space="preserve">Free Cash Flow to Firm (FCFF)</t>
  </si>
  <si>
    <t xml:space="preserve">Discount period</t>
  </si>
  <si>
    <t xml:space="preserve">PV of FCFF</t>
  </si>
  <si>
    <t xml:space="preserve">Terminal Value (Gordon, on FY36 FCFF)</t>
  </si>
  <si>
    <t xml:space="preserve">Terminal Value = FCFF₍36₎×(1+g)/(WACC-g)</t>
  </si>
  <si>
    <t xml:space="preserve">Valuation Summary</t>
  </si>
  <si>
    <t xml:space="preserve">Sum PV of explicit FCFF (FY27-36)</t>
  </si>
  <si>
    <t xml:space="preserve">(+) Cash &amp; current investments (FY26)</t>
  </si>
  <si>
    <t xml:space="preserve">(–) Lease liability (debt)</t>
  </si>
  <si>
    <t xml:space="preserve">(–) Borrowings (ST+LT)</t>
  </si>
  <si>
    <t xml:space="preserve">Shares outstanding (Cr)</t>
  </si>
  <si>
    <t xml:space="preserve">Revised value per share (INR)</t>
  </si>
  <si>
    <t xml:space="preserve">Memo: TV as % of EV</t>
  </si>
  <si>
    <t xml:space="preserve">Memo: Original DCF / share</t>
  </si>
  <si>
    <t xml:space="preserve">Memo: Market price (31-May-26)</t>
  </si>
  <si>
    <t xml:space="preserve">Validation (computed offline @ base inputs Rf7% ERP4% β0.80 WACC10.20% g6.5%)</t>
  </si>
  <si>
    <t xml:space="preserve">Metric</t>
  </si>
  <si>
    <t xml:space="preserve">Expected value</t>
  </si>
  <si>
    <t xml:space="preserve">Value per share (INR)</t>
  </si>
  <si>
    <t xml:space="preserve">TV % of EV</t>
  </si>
  <si>
    <t xml:space="preserve">Sensitivity — value/share (rows WACC, cols terminal g)  [static @ base ops]</t>
  </si>
  <si>
    <t xml:space="preserve">WACC \ g</t>
  </si>
  <si>
    <t xml:space="preserve">Beta Calculation</t>
  </si>
  <si>
    <t xml:space="preserve">Beta Calculation Using Weekly Prices of last 5 years</t>
  </si>
  <si>
    <t xml:space="preserve">Beta Calculation Using MOnthly Prices of last 5 years</t>
  </si>
  <si>
    <t xml:space="preserve">Adjusted Beta</t>
  </si>
  <si>
    <t xml:space="preserve">0.67×Raw Beta+0.33</t>
  </si>
  <si>
    <t xml:space="preserve">Date</t>
  </si>
  <si>
    <t xml:space="preserve">Price</t>
  </si>
  <si>
    <t xml:space="preserve">% Change</t>
  </si>
  <si>
    <t xml:space="preserve">Nifty FMCG</t>
  </si>
  <si>
    <t xml:space="preserve">Raw Beta</t>
  </si>
  <si>
    <t xml:space="preserve">United Spirits Company Insights</t>
  </si>
  <si>
    <t xml:space="preserve">(in Millions)</t>
  </si>
  <si>
    <t xml:space="preserve">Product Segments</t>
  </si>
  <si>
    <t xml:space="preserve">Popular Vol</t>
  </si>
  <si>
    <t xml:space="preserve">Prestige &amp; Above (P&amp;A) Vol</t>
  </si>
  <si>
    <t xml:space="preserve">Total Sales Volume</t>
  </si>
  <si>
    <t xml:space="preserve">CAGR in P&amp;A Segment</t>
  </si>
  <si>
    <t xml:space="preserve">Segment Tier</t>
  </si>
  <si>
    <t xml:space="preserve">Category / Product Name</t>
  </si>
  <si>
    <t xml:space="preserve">Brand Positioning &amp; Pricing Sub-Tier</t>
  </si>
  <si>
    <t xml:space="preserve">Consolidated Value Matrices &amp; Revenue Benchmarks</t>
  </si>
  <si>
    <t xml:space="preserve">Prestige &amp; Above (P&amp;A) </t>
  </si>
  <si>
    <t xml:space="preserve">McDowell's No.1 Whisky </t>
  </si>
  <si>
    <t xml:space="preserve">Lower Prestige </t>
  </si>
  <si>
    <t xml:space="preserve">&gt; ₹1,000 Crore Brand </t>
  </si>
  <si>
    <t xml:space="preserve">Royal Challenge </t>
  </si>
  <si>
    <t xml:space="preserve">Mid Prestige </t>
  </si>
  <si>
    <t xml:space="preserve">Johnnie Walker (Blue, Gold, Black, Double Black, Red, Blonde Label) </t>
  </si>
  <si>
    <t xml:space="preserve">Luxury &amp; Premium Scotch </t>
  </si>
  <si>
    <t xml:space="preserve">Black &amp; White </t>
  </si>
  <si>
    <t xml:space="preserve">Premium Scotch </t>
  </si>
  <si>
    <t xml:space="preserve">₹500 - ₹1,000 Crore Brand </t>
  </si>
  <si>
    <t xml:space="preserve">Black Dog (Triple Gold Reserve, Black Reserve, Millard's Private Reserve) </t>
  </si>
  <si>
    <t xml:space="preserve">Signature (Premier, Rare) </t>
  </si>
  <si>
    <t xml:space="preserve">Upper Prestige </t>
  </si>
  <si>
    <t xml:space="preserve">Royal Challenge American Pride </t>
  </si>
  <si>
    <t xml:space="preserve">Prestige Sub-Tier </t>
  </si>
  <si>
    <t xml:space="preserve">Godawan (01 Rich &amp; Rounded, 02 Fruit &amp; Spice) </t>
  </si>
  <si>
    <t xml:space="preserve">Luxury Malts (Artisanal Craft) </t>
  </si>
  <si>
    <t xml:space="preserve">High-Growth Luxury Core </t>
  </si>
  <si>
    <t xml:space="preserve">McDowell's &amp; Co Distiller's Batch </t>
  </si>
  <si>
    <t xml:space="preserve">Luxury Malts </t>
  </si>
  <si>
    <t xml:space="preserve">Premium Innovation Core </t>
  </si>
  <si>
    <t xml:space="preserve">Don Julio Tequila </t>
  </si>
  <si>
    <t xml:space="preserve">Premium Luxury Spirits </t>
  </si>
  <si>
    <t xml:space="preserve">High-Growth Tequila Tier </t>
  </si>
  <si>
    <t xml:space="preserve">Smirnoff Vodka (Core &amp; Flavors: Mirchi Mango, Minty Jamun, Zesty Lime) </t>
  </si>
  <si>
    <t xml:space="preserve">White Spirits / Flavour Range </t>
  </si>
  <si>
    <t xml:space="preserve">Premium Spirit Core </t>
  </si>
  <si>
    <t xml:space="preserve">McDowell's X Series (Gins, Vodkas, Rums) </t>
  </si>
  <si>
    <t xml:space="preserve">Non-Whisky Prestige Range </t>
  </si>
  <si>
    <t xml:space="preserve">Segment Extension Line </t>
  </si>
  <si>
    <t xml:space="preserve">Tanqueray Gin </t>
  </si>
  <si>
    <t xml:space="preserve">Premium White Spirits </t>
  </si>
  <si>
    <t xml:space="preserve">Premium Gin Segment </t>
  </si>
  <si>
    <t xml:space="preserve">Other Premium Marks (The Singleton, Baileys Liqueur, Captain Morgan Rum, Cîroc, Ketel One, Antiquity Blue) </t>
  </si>
  <si>
    <t xml:space="preserve">Premium / Imports / Specialty Liqueurs </t>
  </si>
  <si>
    <t xml:space="preserve">Distributed Brand Matrix </t>
  </si>
  <si>
    <t xml:space="preserve">Popular Segment </t>
  </si>
  <si>
    <t xml:space="preserve">Director’s Special Black (DSP Black) / Mass Whiskies </t>
  </si>
  <si>
    <t xml:space="preserve">Value / Mass Spirits </t>
  </si>
  <si>
    <t xml:space="preserve">Mass Value Contribution </t>
  </si>
  <si>
    <t xml:space="preserve">McDowell's No.1 Celebration Rum / Mass Rum Lines </t>
  </si>
  <si>
    <t xml:space="preserve">Value / Mass Rum </t>
  </si>
  <si>
    <t xml:space="preserve">Mass-Market Brandies / Regional Spirits </t>
  </si>
  <si>
    <t xml:space="preserve">Value / Heritage Spirit Lines </t>
  </si>
  <si>
    <t xml:space="preserve">Cash from Operating Activity -</t>
  </si>
  <si>
    <t xml:space="preserve">Profit from operations</t>
  </si>
  <si>
    <t xml:space="preserve">Payables</t>
  </si>
  <si>
    <t xml:space="preserve">Loans Advances</t>
  </si>
  <si>
    <t xml:space="preserve">Other WC items</t>
  </si>
  <si>
    <t xml:space="preserve">Working capital changes</t>
  </si>
  <si>
    <t xml:space="preserve">Direct taxes</t>
  </si>
  <si>
    <t xml:space="preserve">Other operating items</t>
  </si>
  <si>
    <t xml:space="preserve">Cash from Investing Activity -</t>
  </si>
  <si>
    <t xml:space="preserve">Fixed assets purchased</t>
  </si>
  <si>
    <t xml:space="preserve">Net Change in Cash=CFO+CFI+CFF</t>
  </si>
  <si>
    <t xml:space="preserve">Fixed assets sold</t>
  </si>
  <si>
    <t xml:space="preserve">CFO=PAT+Depreciation−ΔWC</t>
  </si>
  <si>
    <t xml:space="preserve">Investments purchased</t>
  </si>
  <si>
    <t xml:space="preserve">Investments sold</t>
  </si>
  <si>
    <t xml:space="preserve">DEP</t>
  </si>
  <si>
    <t xml:space="preserve">Interest received</t>
  </si>
  <si>
    <t xml:space="preserve">change in wc</t>
  </si>
  <si>
    <t xml:space="preserve">Dividends received</t>
  </si>
  <si>
    <t xml:space="preserve">CFO</t>
  </si>
  <si>
    <t xml:space="preserve">Invest in subsidiaries</t>
  </si>
  <si>
    <t xml:space="preserve">CFI</t>
  </si>
  <si>
    <t xml:space="preserve">Investment in group cos</t>
  </si>
  <si>
    <t xml:space="preserve">CFF</t>
  </si>
  <si>
    <t xml:space="preserve">Redemp n Canc of Shares</t>
  </si>
  <si>
    <t xml:space="preserve">dividend pay</t>
  </si>
  <si>
    <t xml:space="preserve">Acquisition of companies</t>
  </si>
  <si>
    <t xml:space="preserve">intererst paid</t>
  </si>
  <si>
    <t xml:space="preserve">Other investing items</t>
  </si>
  <si>
    <t xml:space="preserve">Int rece</t>
  </si>
  <si>
    <t xml:space="preserve">loan pay</t>
  </si>
  <si>
    <t xml:space="preserve">Cash from Financing Activity -</t>
  </si>
  <si>
    <t xml:space="preserve">Proceeds from borrowings</t>
  </si>
  <si>
    <t xml:space="preserve">Repayment of borrowings</t>
  </si>
  <si>
    <t xml:space="preserve">Interest paid fin</t>
  </si>
  <si>
    <t xml:space="preserve">Dividends paid</t>
  </si>
  <si>
    <t xml:space="preserve">Financial liabilities</t>
  </si>
  <si>
    <t xml:space="preserve">Other financing items</t>
  </si>
  <si>
    <t xml:space="preserve">Dep</t>
  </si>
  <si>
    <t xml:space="preserve">Wcc</t>
  </si>
  <si>
    <t xml:space="preserve">Cfo</t>
  </si>
  <si>
    <t xml:space="preserve">12 mths</t>
  </si>
  <si>
    <t xml:space="preserve">X</t>
  </si>
  <si>
    <t xml:space="preserve">EQUITIES AND LIABILITIES</t>
  </si>
  <si>
    <t xml:space="preserve">SHAREHOLDER'S FUNDS</t>
  </si>
  <si>
    <t xml:space="preserve">Reserves and Surplus</t>
  </si>
  <si>
    <t xml:space="preserve">Total Shareholders Funds</t>
  </si>
  <si>
    <t xml:space="preserve">Minority Interest</t>
  </si>
  <si>
    <t xml:space="preserve">NON-CURRENT LIABILITIES</t>
  </si>
  <si>
    <t xml:space="preserve">Lease liabilities</t>
  </si>
  <si>
    <t xml:space="preserve">Other Long Term Liabilities</t>
  </si>
  <si>
    <t xml:space="preserve">Long Term Provisions</t>
  </si>
  <si>
    <t xml:space="preserve">CURRENT LIABILITIES</t>
  </si>
  <si>
    <t xml:space="preserve">Short Term Provisions</t>
  </si>
  <si>
    <t xml:space="preserve">Total Capital And Liabilities</t>
  </si>
  <si>
    <t xml:space="preserve">ASSETS</t>
  </si>
  <si>
    <t xml:space="preserve">NON-CURRENT ASSETS</t>
  </si>
  <si>
    <t xml:space="preserve">Tangible Assets</t>
  </si>
  <si>
    <t xml:space="preserve">Capital Work-In-Progress</t>
  </si>
  <si>
    <t xml:space="preserve">Intangible Assets Under Development</t>
  </si>
  <si>
    <t xml:space="preserve">Non-Current Investments</t>
  </si>
  <si>
    <t xml:space="preserve">Deferred Tax Assets [Net]</t>
  </si>
  <si>
    <t xml:space="preserve">Other Non-Current Assets</t>
  </si>
  <si>
    <t xml:space="preserve">Total Non-Current Assets</t>
  </si>
  <si>
    <t xml:space="preserve">CURRENT ASSETS</t>
  </si>
  <si>
    <t xml:space="preserve">Current Investments</t>
  </si>
  <si>
    <t xml:space="preserve">Trade Receivables</t>
  </si>
  <si>
    <t xml:space="preserve">Cash And Cash Equivalents</t>
  </si>
  <si>
    <t xml:space="preserve">Short Term Loans And Advances</t>
  </si>
  <si>
    <t xml:space="preserve">OtherCurrentAssets</t>
  </si>
  <si>
    <t xml:space="preserve">Notes to Accounts</t>
  </si>
  <si>
    <t xml:space="preserve">Interest income on financial assets held at amortised cost</t>
  </si>
  <si>
    <t xml:space="preserve">Debtor Days</t>
  </si>
  <si>
    <t xml:space="preserve">Exchange gain (net)</t>
  </si>
  <si>
    <t xml:space="preserve">Gain on disposal of property plant and equipment (net)</t>
  </si>
  <si>
    <t xml:space="preserve">Days Payable</t>
  </si>
  <si>
    <t xml:space="preserve">Profit on sale of investment</t>
  </si>
  <si>
    <t xml:space="preserve">Cash Conversion Cycle</t>
  </si>
  <si>
    <t xml:space="preserve">Fair value gains on current investments (net)</t>
  </si>
  <si>
    <t xml:space="preserve">Working Capital Days</t>
  </si>
  <si>
    <t xml:space="preserve">Liabilities no longer required written back</t>
  </si>
  <si>
    <t xml:space="preserve">Bad debts / advances recovered</t>
  </si>
  <si>
    <t xml:space="preserve">Miscellaneous income</t>
  </si>
  <si>
    <t xml:space="preserve">Interest income on term deposits and investments held at amortised cost</t>
  </si>
  <si>
    <t xml:space="preserve">Interest income on direct and indirect tax refunds</t>
  </si>
  <si>
    <t xml:space="preserve">Interest income from loan to a joint venture held at amortised cost</t>
  </si>
  <si>
    <t xml:space="preserve">Profit on redemption of mutual fund units</t>
  </si>
  <si>
    <t xml:space="preserve">Increase in fair value of current investments (net)</t>
  </si>
  <si>
    <t xml:space="preserve">Total Other Income</t>
  </si>
  <si>
    <t xml:space="preserve">Extraordinary Items</t>
  </si>
  <si>
    <t xml:space="preserve">Total other income For analysis</t>
  </si>
  <si>
    <t xml:space="preserve">Exceptional items for analysis</t>
  </si>
  <si>
    <t xml:space="preserve">Finance costs</t>
  </si>
  <si>
    <t xml:space="preserve">Interest charges on lease liabilities</t>
  </si>
  <si>
    <t xml:space="preserve">Interest expense on borrowings at amortised cost</t>
  </si>
  <si>
    <t xml:space="preserve">Interest- others</t>
  </si>
  <si>
    <t xml:space="preserve">Depreciation and Amortisation</t>
  </si>
  <si>
    <t xml:space="preserve">Depreciation / impairment of property, plant and equipmen</t>
  </si>
  <si>
    <t xml:space="preserve">Depreciation of right-of-use assets</t>
  </si>
  <si>
    <t xml:space="preserve">Amortisation / impairment of intangible assets</t>
  </si>
  <si>
    <t xml:space="preserve">Total D&amp;A</t>
  </si>
  <si>
    <t xml:space="preserve">Depreciation / impairment of PPE as % of total dep</t>
  </si>
  <si>
    <t xml:space="preserve">Depreciation of right-of-use assets as % of total dep</t>
  </si>
  <si>
    <t xml:space="preserve">Amortisation / impairment of intangible assets as %of total dep</t>
  </si>
  <si>
    <t xml:space="preserve">INCOME</t>
  </si>
  <si>
    <t xml:space="preserve">Revenue From Operations [Gross]</t>
  </si>
  <si>
    <t xml:space="preserve">Less: Excise/Sevice Tax/Other Levies</t>
  </si>
  <si>
    <t xml:space="preserve">Revenue From Operations [Net]</t>
  </si>
  <si>
    <t xml:space="preserve">Other Operating Revenues</t>
  </si>
  <si>
    <t xml:space="preserve">Total Operating Revenues</t>
  </si>
  <si>
    <t xml:space="preserve">Total Revenue</t>
  </si>
  <si>
    <t xml:space="preserve">EXPENSES</t>
  </si>
  <si>
    <t xml:space="preserve">Cost Of Materials Consumed</t>
  </si>
  <si>
    <t xml:space="preserve">Purchase Of Stock-In Trade</t>
  </si>
  <si>
    <t xml:space="preserve">Changes In Inventories Of FG,WIP And Stock-In Trade</t>
  </si>
  <si>
    <t xml:space="preserve">Employee Benefit Expenses</t>
  </si>
  <si>
    <t xml:space="preserve">Finance Costs</t>
  </si>
  <si>
    <t xml:space="preserve">Depreciation And Amortisation Expenses</t>
  </si>
  <si>
    <t xml:space="preserve">Total Expenses</t>
  </si>
  <si>
    <t xml:space="preserve">Profit/Loss Before Exceptional, ExtraOrdinary Items And Tax</t>
  </si>
  <si>
    <t xml:space="preserve">Profit/Loss Before Tax</t>
  </si>
  <si>
    <t xml:space="preserve">Total Tax Expenses</t>
  </si>
  <si>
    <t xml:space="preserve">Profit/Loss After Tax And Before ExtraOrdinary Items</t>
  </si>
  <si>
    <t xml:space="preserve">Profit/Loss For The Period</t>
  </si>
</sst>
</file>

<file path=xl/styles.xml><?xml version="1.0" encoding="utf-8"?>
<styleSheet xmlns="http://schemas.openxmlformats.org/spreadsheetml/2006/main">
  <numFmts count="28">
    <numFmt numFmtId="164" formatCode="General"/>
    <numFmt numFmtId="165" formatCode="_(* #,##0.00_);_(* \(#,##0.00\);_(* \-??_);_(@_)"/>
    <numFmt numFmtId="166" formatCode="_ * #,##0.00_ ;_ * \-#,##0.00_ ;_ * \-??_ ;_ @_ "/>
    <numFmt numFmtId="167" formatCode="[$-409]mmm\-yy;@"/>
    <numFmt numFmtId="168" formatCode="0%"/>
    <numFmt numFmtId="169" formatCode="0.00%"/>
    <numFmt numFmtId="170" formatCode="0.0%"/>
    <numFmt numFmtId="171" formatCode="0"/>
    <numFmt numFmtId="172" formatCode="0.00_);\(0.00\)"/>
    <numFmt numFmtId="173" formatCode="0\A"/>
    <numFmt numFmtId="174" formatCode="0\E"/>
    <numFmt numFmtId="175" formatCode="0.0_);\(0.0\)"/>
    <numFmt numFmtId="176" formatCode="#,##0.0_);\(#,##0.0\)"/>
    <numFmt numFmtId="177" formatCode="@"/>
    <numFmt numFmtId="178" formatCode="0.00000_);\(0.00000\)"/>
    <numFmt numFmtId="179" formatCode="0.00"/>
    <numFmt numFmtId="180" formatCode="0.0000_);\(0.0000\)"/>
    <numFmt numFmtId="181" formatCode="0.00000"/>
    <numFmt numFmtId="182" formatCode="_(* #,##0.0_);_(* \(#,##0.0\);_(* \-?_);_(@_)"/>
    <numFmt numFmtId="183" formatCode="0.000000_);\(0.000000\)"/>
    <numFmt numFmtId="184" formatCode="#,##0"/>
    <numFmt numFmtId="185" formatCode="#,##0.00"/>
    <numFmt numFmtId="186" formatCode="[$-409]mmmm\ d&quot;, &quot;yyyy;@"/>
    <numFmt numFmtId="187" formatCode="d\-mmm"/>
    <numFmt numFmtId="188" formatCode="0\A"/>
    <numFmt numFmtId="189" formatCode="0\E"/>
    <numFmt numFmtId="190" formatCode="mmm\-yy"/>
    <numFmt numFmtId="191" formatCode="0.0"/>
  </numFmts>
  <fonts count="3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u val="single"/>
      <sz val="11"/>
      <color rgb="FF0563C1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name val="Calibri"/>
      <family val="2"/>
      <charset val="1"/>
    </font>
    <font>
      <sz val="15"/>
      <color rgb="FF000000"/>
      <name val="Calibri"/>
      <family val="2"/>
      <charset val="1"/>
    </font>
    <font>
      <sz val="11"/>
      <color rgb="FF0070C0"/>
      <name val="Calibri"/>
      <family val="2"/>
      <charset val="1"/>
    </font>
    <font>
      <sz val="10"/>
      <color rgb="FF000000"/>
      <name val="Calibri"/>
      <family val="2"/>
      <charset val="1"/>
    </font>
    <font>
      <sz val="11"/>
      <color rgb="FF00B050"/>
      <name val="Calibri"/>
      <family val="2"/>
      <charset val="1"/>
    </font>
    <font>
      <i val="true"/>
      <sz val="11"/>
      <color rgb="FFFFFFFF"/>
      <name val="Calibri"/>
      <family val="2"/>
      <charset val="1"/>
    </font>
    <font>
      <b val="true"/>
      <sz val="11"/>
      <color rgb="FF0070C0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6"/>
      <color rgb="FF000000"/>
      <name val="Calibri"/>
      <family val="2"/>
      <charset val="1"/>
    </font>
    <font>
      <b val="true"/>
      <sz val="14"/>
      <color rgb="FF000000"/>
      <name val="Calibri"/>
      <family val="2"/>
      <charset val="1"/>
    </font>
    <font>
      <b val="true"/>
      <sz val="11"/>
      <color rgb="FF00B050"/>
      <name val="Calibri"/>
      <family val="2"/>
      <charset val="1"/>
    </font>
    <font>
      <b val="true"/>
      <sz val="11"/>
      <color rgb="FF4472C4"/>
      <name val="Calibri"/>
      <family val="2"/>
      <charset val="1"/>
    </font>
    <font>
      <sz val="11"/>
      <color rgb="FF4472C4"/>
      <name val="Calibri"/>
      <family val="2"/>
      <charset val="1"/>
    </font>
    <font>
      <sz val="11"/>
      <color rgb="FF2F5597"/>
      <name val="Calibri"/>
      <family val="2"/>
      <charset val="1"/>
    </font>
    <font>
      <b val="true"/>
      <sz val="14"/>
      <color rgb="FF1F4E78"/>
      <name val="Cambria"/>
      <family val="0"/>
      <charset val="1"/>
    </font>
    <font>
      <i val="true"/>
      <sz val="9"/>
      <color rgb="FF595959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color rgb="FF1F4E78"/>
      <name val="Cambria"/>
      <family val="0"/>
      <charset val="1"/>
    </font>
    <font>
      <b val="true"/>
      <i val="true"/>
      <sz val="11"/>
      <color rgb="FFC00000"/>
      <name val="Cambria"/>
      <family val="0"/>
      <charset val="1"/>
    </font>
    <font>
      <b val="true"/>
      <sz val="11"/>
      <color rgb="FF1F4E78"/>
      <name val="Cambria"/>
      <family val="0"/>
      <charset val="1"/>
    </font>
    <font>
      <i val="true"/>
      <sz val="11"/>
      <color rgb="FF000000"/>
      <name val="Calibri"/>
      <family val="2"/>
      <charset val="1"/>
    </font>
    <font>
      <b val="true"/>
      <sz val="11"/>
      <color rgb="FF7030A0"/>
      <name val="Calibri"/>
      <family val="2"/>
      <charset val="1"/>
    </font>
    <font>
      <sz val="12"/>
      <color rgb="FF000000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sz val="12"/>
      <name val="Calibri"/>
      <family val="2"/>
      <charset val="1"/>
    </font>
    <font>
      <b val="true"/>
      <sz val="12"/>
      <name val="Calibri"/>
      <family val="2"/>
      <charset val="1"/>
    </font>
    <font>
      <sz val="11"/>
      <color rgb="FFFF0000"/>
      <name val="Calibri"/>
      <family val="2"/>
      <charset val="1"/>
    </font>
    <font>
      <sz val="14"/>
      <color rgb="FF000000"/>
      <name val="Calibri"/>
      <family val="2"/>
      <charset val="1"/>
    </font>
    <font>
      <b val="true"/>
      <sz val="11"/>
      <color rgb="FF2F5597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70AD47"/>
        <bgColor rgb="FF99CC00"/>
      </patternFill>
    </fill>
    <fill>
      <patternFill patternType="solid">
        <fgColor rgb="FF0275D8"/>
        <bgColor rgb="FF0070C0"/>
      </patternFill>
    </fill>
    <fill>
      <patternFill patternType="solid">
        <fgColor rgb="FF1F4E79"/>
        <bgColor rgb="FF1F4E78"/>
      </patternFill>
    </fill>
    <fill>
      <patternFill patternType="solid">
        <fgColor rgb="FF2E75B6"/>
        <bgColor rgb="FF4472C4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C5E0B4"/>
        <bgColor rgb="FFE2EFDA"/>
      </patternFill>
    </fill>
    <fill>
      <patternFill patternType="solid">
        <fgColor rgb="FF002060"/>
        <bgColor rgb="FF203864"/>
      </patternFill>
    </fill>
    <fill>
      <patternFill patternType="solid">
        <fgColor rgb="FF203864"/>
        <bgColor rgb="FF1F4E78"/>
      </patternFill>
    </fill>
    <fill>
      <patternFill patternType="solid">
        <fgColor rgb="FF4472C4"/>
        <bgColor rgb="FF2E75B6"/>
      </patternFill>
    </fill>
    <fill>
      <patternFill patternType="solid">
        <fgColor rgb="FF2F5597"/>
        <bgColor rgb="FF1F4E79"/>
      </patternFill>
    </fill>
    <fill>
      <patternFill patternType="solid">
        <fgColor rgb="FF44546A"/>
        <bgColor rgb="FF595959"/>
      </patternFill>
    </fill>
  </fills>
  <borders count="48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dotted">
        <color rgb="FF0070C0"/>
      </left>
      <right/>
      <top style="dotted">
        <color rgb="FF0070C0"/>
      </top>
      <bottom/>
      <diagonal/>
    </border>
    <border diagonalUp="false" diagonalDown="false">
      <left/>
      <right/>
      <top style="dotted">
        <color rgb="FF0070C0"/>
      </top>
      <bottom/>
      <diagonal/>
    </border>
    <border diagonalUp="false" diagonalDown="false">
      <left/>
      <right style="dotted">
        <color rgb="FF0070C0"/>
      </right>
      <top style="dotted">
        <color rgb="FF0070C0"/>
      </top>
      <bottom/>
      <diagonal/>
    </border>
    <border diagonalUp="false" diagonalDown="false">
      <left style="dotted">
        <color rgb="FF0070C0"/>
      </left>
      <right/>
      <top/>
      <bottom/>
      <diagonal/>
    </border>
    <border diagonalUp="false" diagonalDown="false">
      <left/>
      <right style="dotted">
        <color rgb="FF0070C0"/>
      </right>
      <top/>
      <bottom/>
      <diagonal/>
    </border>
    <border diagonalUp="false" diagonalDown="false">
      <left style="dotted">
        <color rgb="FF0070C0"/>
      </left>
      <right/>
      <top/>
      <bottom style="dotted">
        <color rgb="FF0070C0"/>
      </bottom>
      <diagonal/>
    </border>
    <border diagonalUp="false" diagonalDown="false">
      <left/>
      <right/>
      <top/>
      <bottom style="dotted">
        <color rgb="FF0070C0"/>
      </bottom>
      <diagonal/>
    </border>
    <border diagonalUp="false" diagonalDown="false">
      <left/>
      <right style="dotted">
        <color rgb="FF0070C0"/>
      </right>
      <top/>
      <bottom style="dotted">
        <color rgb="FF0070C0"/>
      </bottom>
      <diagonal/>
    </border>
    <border diagonalUp="false" diagonalDown="false">
      <left/>
      <right/>
      <top style="thin">
        <color rgb="FF2F5597"/>
      </top>
      <bottom/>
      <diagonal/>
    </border>
    <border diagonalUp="false" diagonalDown="false">
      <left/>
      <right/>
      <top style="thin"/>
      <bottom style="double"/>
      <diagonal/>
    </border>
    <border diagonalUp="false" diagonalDown="false">
      <left style="dotted">
        <color rgb="FF4472C4"/>
      </left>
      <right/>
      <top style="dotted">
        <color rgb="FF4472C4"/>
      </top>
      <bottom/>
      <diagonal/>
    </border>
    <border diagonalUp="false" diagonalDown="false">
      <left/>
      <right/>
      <top style="dotted">
        <color rgb="FF4472C4"/>
      </top>
      <bottom/>
      <diagonal/>
    </border>
    <border diagonalUp="false" diagonalDown="false">
      <left/>
      <right style="dotted">
        <color rgb="FF4472C4"/>
      </right>
      <top style="dotted">
        <color rgb="FF4472C4"/>
      </top>
      <bottom/>
      <diagonal/>
    </border>
    <border diagonalUp="false" diagonalDown="false">
      <left style="dotted">
        <color rgb="FF4472C4"/>
      </left>
      <right/>
      <top/>
      <bottom/>
      <diagonal/>
    </border>
    <border diagonalUp="false" diagonalDown="false">
      <left/>
      <right style="dotted">
        <color rgb="FF4472C4"/>
      </right>
      <top/>
      <bottom/>
      <diagonal/>
    </border>
    <border diagonalUp="false" diagonalDown="false">
      <left style="dotted">
        <color rgb="FF4472C4"/>
      </left>
      <right/>
      <top/>
      <bottom style="dotted">
        <color rgb="FF4472C4"/>
      </bottom>
      <diagonal/>
    </border>
    <border diagonalUp="false" diagonalDown="false">
      <left/>
      <right/>
      <top/>
      <bottom style="dotted">
        <color rgb="FF4472C4"/>
      </bottom>
      <diagonal/>
    </border>
    <border diagonalUp="false" diagonalDown="false">
      <left/>
      <right style="dotted">
        <color rgb="FF4472C4"/>
      </right>
      <top/>
      <bottom style="dotted">
        <color rgb="FF4472C4"/>
      </bottom>
      <diagonal/>
    </border>
    <border diagonalUp="false" diagonalDown="false">
      <left/>
      <right/>
      <top style="hair">
        <color rgb="FF0070C0"/>
      </top>
      <bottom/>
      <diagonal/>
    </border>
    <border diagonalUp="false" diagonalDown="false">
      <left/>
      <right style="hair">
        <color rgb="FF0070C0"/>
      </right>
      <top style="hair">
        <color rgb="FF0070C0"/>
      </top>
      <bottom/>
      <diagonal/>
    </border>
    <border diagonalUp="false" diagonalDown="false">
      <left style="hair">
        <color rgb="FF0070C0"/>
      </left>
      <right/>
      <top/>
      <bottom/>
      <diagonal/>
    </border>
    <border diagonalUp="false" diagonalDown="false">
      <left/>
      <right style="hair">
        <color rgb="FF0070C0"/>
      </right>
      <top/>
      <bottom/>
      <diagonal/>
    </border>
    <border diagonalUp="false" diagonalDown="false">
      <left style="hair">
        <color rgb="FF0070C0"/>
      </left>
      <right/>
      <top/>
      <bottom style="hair">
        <color rgb="FF0070C0"/>
      </bottom>
      <diagonal/>
    </border>
    <border diagonalUp="false" diagonalDown="false">
      <left/>
      <right/>
      <top/>
      <bottom style="hair">
        <color rgb="FF0070C0"/>
      </bottom>
      <diagonal/>
    </border>
    <border diagonalUp="false" diagonalDown="false">
      <left/>
      <right style="hair">
        <color rgb="FF0070C0"/>
      </right>
      <top/>
      <bottom style="hair">
        <color rgb="FF0070C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hair">
        <color rgb="FF0070C0"/>
      </left>
      <right/>
      <top style="hair">
        <color rgb="FF0070C0"/>
      </top>
      <bottom style="hair">
        <color rgb="FF0070C0"/>
      </bottom>
      <diagonal/>
    </border>
    <border diagonalUp="false" diagonalDown="false">
      <left/>
      <right/>
      <top style="hair">
        <color rgb="FF0070C0"/>
      </top>
      <bottom style="hair">
        <color rgb="FF0070C0"/>
      </bottom>
      <diagonal/>
    </border>
    <border diagonalUp="false" diagonalDown="false">
      <left/>
      <right style="hair">
        <color rgb="FF0070C0"/>
      </right>
      <top style="hair">
        <color rgb="FF0070C0"/>
      </top>
      <bottom style="hair">
        <color rgb="FF0070C0"/>
      </bottom>
      <diagonal/>
    </border>
    <border diagonalUp="false" diagonalDown="false">
      <left style="hair">
        <color rgb="FF0070C0"/>
      </left>
      <right/>
      <top style="hair">
        <color rgb="FF0070C0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hair">
        <color rgb="FF002060"/>
      </left>
      <right/>
      <top style="hair">
        <color rgb="FF002060"/>
      </top>
      <bottom/>
      <diagonal/>
    </border>
    <border diagonalUp="false" diagonalDown="false">
      <left/>
      <right/>
      <top style="hair">
        <color rgb="FF002060"/>
      </top>
      <bottom/>
      <diagonal/>
    </border>
    <border diagonalUp="false" diagonalDown="false">
      <left style="hair">
        <color rgb="FF002060"/>
      </left>
      <right style="hair">
        <color rgb="FF002060"/>
      </right>
      <top style="hair">
        <color rgb="FF002060"/>
      </top>
      <bottom/>
      <diagonal/>
    </border>
    <border diagonalUp="false" diagonalDown="false">
      <left style="hair">
        <color rgb="FF002060"/>
      </left>
      <right/>
      <top/>
      <bottom/>
      <diagonal/>
    </border>
    <border diagonalUp="false" diagonalDown="false">
      <left style="hair">
        <color rgb="FF002060"/>
      </left>
      <right style="hair">
        <color rgb="FF002060"/>
      </right>
      <top/>
      <bottom style="hair">
        <color rgb="FF002060"/>
      </bottom>
      <diagonal/>
    </border>
    <border diagonalUp="false" diagonalDown="false">
      <left/>
      <right style="hair">
        <color rgb="FF002060"/>
      </right>
      <top style="hair">
        <color rgb="FF002060"/>
      </top>
      <bottom/>
      <diagonal/>
    </border>
    <border diagonalUp="false" diagonalDown="false">
      <left/>
      <right style="hair">
        <color rgb="FF002060"/>
      </right>
      <top/>
      <bottom/>
      <diagonal/>
    </border>
    <border diagonalUp="false" diagonalDown="false">
      <left style="hair">
        <color rgb="FF002060"/>
      </left>
      <right/>
      <top/>
      <bottom style="hair">
        <color rgb="FF002060"/>
      </bottom>
      <diagonal/>
    </border>
    <border diagonalUp="false" diagonalDown="false">
      <left/>
      <right style="hair">
        <color rgb="FF002060"/>
      </right>
      <top/>
      <bottom style="hair">
        <color rgb="FF002060"/>
      </bottom>
      <diagonal/>
    </border>
    <border diagonalUp="false" diagonalDown="false">
      <left/>
      <right/>
      <top/>
      <bottom style="hair">
        <color rgb="FF002060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2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3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10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15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4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4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19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9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9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9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9" fillId="0" borderId="19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21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22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4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19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26" xfId="19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0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26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4" fillId="0" borderId="28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4" fillId="0" borderId="29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4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2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21" fillId="0" borderId="0" xfId="15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5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0" fillId="0" borderId="23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23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30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0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2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5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4" fontId="2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8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5" fillId="8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5" fillId="8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0" fillId="0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4" fontId="25" fillId="7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8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9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6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9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4" fillId="0" borderId="4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86" fontId="0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42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0" fillId="0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45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0" fillId="0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4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4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6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0" fillId="0" borderId="3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4" fillId="0" borderId="4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4" fillId="12" borderId="4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4" fillId="0" borderId="47" xfId="15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21" fillId="0" borderId="47" xfId="15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21" fillId="0" borderId="47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0" fillId="0" borderId="47" xfId="15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0" fillId="0" borderId="0" xfId="19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3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9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32" fillId="0" borderId="4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9" fontId="3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3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34" fillId="13" borderId="4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9" fontId="33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1" fillId="0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4" fillId="0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9" fontId="35" fillId="0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4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4" fillId="13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0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31" fillId="0" borderId="4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31" fillId="1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1" fontId="3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5" fillId="14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1" fillId="0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4" fillId="0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7" fillId="0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  <cellStyle name="Excel Built-in Accent6" xfId="21"/>
  </cellStyles>
  <dxfs count="1">
    <dxf>
      <font>
        <b val="1"/>
        <color rgb="FFFFFFFF"/>
      </font>
      <fill>
        <patternFill>
          <bgColor rgb="FFED7D3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2F5597"/>
      <rgbColor rgb="FF000080"/>
      <rgbColor rgb="FF808000"/>
      <rgbColor rgb="FF800080"/>
      <rgbColor rgb="FF0070C0"/>
      <rgbColor rgb="FFBFBFBF"/>
      <rgbColor rgb="FF2E75B6"/>
      <rgbColor rgb="FF9999FF"/>
      <rgbColor rgb="FF7030A0"/>
      <rgbColor rgb="FFFFF2CC"/>
      <rgbColor rgb="FFF2F2F2"/>
      <rgbColor rgb="FF660066"/>
      <rgbColor rgb="FFFF8080"/>
      <rgbColor rgb="FF0563C1"/>
      <rgbColor rgb="FFC5E0B4"/>
      <rgbColor rgb="FF000080"/>
      <rgbColor rgb="FFFF00FF"/>
      <rgbColor rgb="FFFFFF00"/>
      <rgbColor rgb="FF00FFFF"/>
      <rgbColor rgb="FF800080"/>
      <rgbColor rgb="FF800000"/>
      <rgbColor rgb="FF0275D8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70AD47"/>
      <rgbColor rgb="FF002060"/>
      <rgbColor rgb="FF00B050"/>
      <rgbColor rgb="FF1F4E78"/>
      <rgbColor rgb="FF44546A"/>
      <rgbColor rgb="FF993300"/>
      <rgbColor rgb="FF993366"/>
      <rgbColor rgb="FF1F4E79"/>
      <rgbColor rgb="FF20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screener.in/excel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3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78515625" defaultRowHeight="14.4" zeroHeight="false" outlineLevelRow="0" outlineLevelCol="0"/>
  <cols>
    <col collapsed="false" customWidth="true" hidden="false" outlineLevel="0" max="1" min="1" style="1" width="27.66"/>
    <col collapsed="false" customWidth="true" hidden="false" outlineLevel="0" max="11" min="2" style="1" width="13.44"/>
    <col collapsed="false" customWidth="false" hidden="false" outlineLevel="0" max="1024" min="12" style="1" width="8.78"/>
  </cols>
  <sheetData>
    <row r="1" s="2" customFormat="true" ht="14.4" hidden="false" customHeight="false" outlineLevel="0" collapsed="false">
      <c r="A1" s="2" t="s">
        <v>0</v>
      </c>
      <c r="B1" s="2" t="s">
        <v>1</v>
      </c>
      <c r="E1" s="3" t="str">
        <f aca="false">IF(B2&lt;&gt;B3, "A NEW VERSION OF THE WORKSHEET IS AVAILABLE", "")</f>
        <v/>
      </c>
      <c r="F1" s="3"/>
      <c r="G1" s="3"/>
      <c r="H1" s="3"/>
      <c r="I1" s="3"/>
      <c r="J1" s="3"/>
      <c r="K1" s="3"/>
    </row>
    <row r="2" customFormat="false" ht="14.4" hidden="false" customHeight="false" outlineLevel="0" collapsed="false">
      <c r="A2" s="2" t="s">
        <v>2</v>
      </c>
      <c r="B2" s="1" t="n">
        <v>2.1</v>
      </c>
      <c r="E2" s="4" t="s">
        <v>3</v>
      </c>
      <c r="F2" s="4"/>
      <c r="G2" s="4"/>
      <c r="H2" s="4"/>
      <c r="I2" s="4"/>
      <c r="J2" s="4"/>
      <c r="K2" s="4"/>
    </row>
    <row r="3" customFormat="false" ht="14.4" hidden="false" customHeight="false" outlineLevel="0" collapsed="false">
      <c r="A3" s="2" t="s">
        <v>4</v>
      </c>
      <c r="B3" s="1" t="n">
        <v>2.1</v>
      </c>
    </row>
    <row r="4" customFormat="false" ht="14.4" hidden="false" customHeight="false" outlineLevel="0" collapsed="false">
      <c r="A4" s="2"/>
    </row>
    <row r="5" customFormat="false" ht="14.4" hidden="false" customHeight="false" outlineLevel="0" collapsed="false">
      <c r="A5" s="2" t="s">
        <v>5</v>
      </c>
    </row>
    <row r="6" customFormat="false" ht="14.4" hidden="false" customHeight="false" outlineLevel="0" collapsed="false">
      <c r="A6" s="1" t="s">
        <v>6</v>
      </c>
      <c r="B6" s="1" t="n">
        <f aca="false">IF(B9&gt;0, B9/B8, 0)</f>
        <v>72.7350874536231</v>
      </c>
    </row>
    <row r="7" customFormat="false" ht="14.4" hidden="false" customHeight="false" outlineLevel="0" collapsed="false">
      <c r="A7" s="1" t="s">
        <v>7</v>
      </c>
      <c r="B7" s="1" t="n">
        <v>2</v>
      </c>
    </row>
    <row r="8" customFormat="false" ht="14.4" hidden="false" customHeight="false" outlineLevel="0" collapsed="false">
      <c r="A8" s="1" t="s">
        <v>8</v>
      </c>
      <c r="B8" s="1" t="n">
        <v>1320.7</v>
      </c>
    </row>
    <row r="9" customFormat="false" ht="14.4" hidden="false" customHeight="false" outlineLevel="0" collapsed="false">
      <c r="A9" s="1" t="s">
        <v>9</v>
      </c>
      <c r="B9" s="1" t="n">
        <v>96061.23</v>
      </c>
    </row>
    <row r="15" customFormat="false" ht="14.4" hidden="false" customHeight="false" outlineLevel="0" collapsed="false">
      <c r="A15" s="2" t="s">
        <v>10</v>
      </c>
    </row>
    <row r="16" s="7" customFormat="true" ht="14.4" hidden="false" customHeight="false" outlineLevel="0" collapsed="false">
      <c r="A16" s="5" t="s">
        <v>11</v>
      </c>
      <c r="B16" s="6" t="n">
        <v>42825</v>
      </c>
      <c r="C16" s="6" t="n">
        <v>43190</v>
      </c>
      <c r="D16" s="6" t="n">
        <v>43555</v>
      </c>
      <c r="E16" s="6" t="n">
        <v>43921</v>
      </c>
      <c r="F16" s="6" t="n">
        <v>44286</v>
      </c>
      <c r="G16" s="6" t="n">
        <v>44651</v>
      </c>
      <c r="H16" s="6" t="n">
        <v>45016</v>
      </c>
      <c r="I16" s="6" t="n">
        <v>45382</v>
      </c>
      <c r="J16" s="6" t="n">
        <v>45747</v>
      </c>
      <c r="K16" s="6" t="n">
        <v>46112</v>
      </c>
    </row>
    <row r="17" customFormat="false" ht="14.4" hidden="false" customHeight="false" outlineLevel="0" collapsed="false">
      <c r="A17" s="1" t="s">
        <v>12</v>
      </c>
      <c r="B17" s="1" t="n">
        <v>8817.5</v>
      </c>
      <c r="C17" s="1" t="n">
        <v>8590.6</v>
      </c>
      <c r="D17" s="1" t="n">
        <v>9340.8</v>
      </c>
      <c r="E17" s="1" t="n">
        <v>9325.4</v>
      </c>
      <c r="F17" s="1" t="n">
        <v>8131.3</v>
      </c>
      <c r="G17" s="1" t="n">
        <v>9712.4</v>
      </c>
      <c r="H17" s="1" t="n">
        <v>10612</v>
      </c>
      <c r="I17" s="1" t="n">
        <v>11321</v>
      </c>
      <c r="J17" s="1" t="n">
        <v>12069</v>
      </c>
      <c r="K17" s="1" t="n">
        <v>12467</v>
      </c>
    </row>
    <row r="18" customFormat="false" ht="14.4" hidden="false" customHeight="false" outlineLevel="0" collapsed="false">
      <c r="A18" s="1" t="s">
        <v>13</v>
      </c>
      <c r="B18" s="1" t="n">
        <v>3053.5</v>
      </c>
      <c r="C18" s="1" t="n">
        <v>2679</v>
      </c>
      <c r="D18" s="1" t="n">
        <v>2940.4</v>
      </c>
      <c r="E18" s="1" t="n">
        <v>3435.1</v>
      </c>
      <c r="F18" s="1" t="n">
        <v>2812.9</v>
      </c>
      <c r="G18" s="1" t="n">
        <v>3519.6</v>
      </c>
      <c r="H18" s="1" t="n">
        <v>4361</v>
      </c>
      <c r="I18" s="1" t="n">
        <v>3937</v>
      </c>
      <c r="J18" s="1" t="n">
        <v>4179</v>
      </c>
      <c r="K18" s="1" t="n">
        <v>6815</v>
      </c>
    </row>
    <row r="19" customFormat="false" ht="14.4" hidden="false" customHeight="false" outlineLevel="0" collapsed="false">
      <c r="A19" s="1" t="s">
        <v>14</v>
      </c>
      <c r="B19" s="1" t="n">
        <v>56.8</v>
      </c>
      <c r="C19" s="1" t="n">
        <v>-14.1</v>
      </c>
      <c r="D19" s="1" t="n">
        <v>65.7</v>
      </c>
      <c r="E19" s="1" t="n">
        <v>98.4</v>
      </c>
      <c r="F19" s="1" t="n">
        <v>133.1</v>
      </c>
      <c r="G19" s="1" t="n">
        <v>-82.7</v>
      </c>
      <c r="H19" s="1" t="n">
        <v>-137</v>
      </c>
      <c r="I19" s="1" t="n">
        <v>119</v>
      </c>
      <c r="J19" s="1" t="n">
        <v>90</v>
      </c>
      <c r="K19" s="1" t="n">
        <v>-141</v>
      </c>
    </row>
    <row r="20" customFormat="false" ht="14.4" hidden="false" customHeight="false" outlineLevel="0" collapsed="false">
      <c r="A20" s="1" t="s">
        <v>15</v>
      </c>
      <c r="B20" s="1" t="n">
        <v>34.8</v>
      </c>
      <c r="C20" s="1" t="n">
        <v>27.9</v>
      </c>
      <c r="D20" s="1" t="n">
        <v>24.9</v>
      </c>
      <c r="E20" s="1" t="n">
        <v>24.5</v>
      </c>
      <c r="F20" s="1" t="n">
        <v>20</v>
      </c>
      <c r="G20" s="1" t="n">
        <v>18.2</v>
      </c>
      <c r="H20" s="1" t="n">
        <v>17</v>
      </c>
      <c r="I20" s="1" t="n">
        <v>18</v>
      </c>
      <c r="J20" s="1" t="n">
        <v>19</v>
      </c>
    </row>
    <row r="21" customFormat="false" ht="14.4" hidden="false" customHeight="false" outlineLevel="0" collapsed="false">
      <c r="A21" s="1" t="s">
        <v>16</v>
      </c>
      <c r="B21" s="1" t="n">
        <v>2006.2</v>
      </c>
      <c r="C21" s="1" t="n">
        <v>1864.5</v>
      </c>
      <c r="D21" s="1" t="n">
        <v>1935.4</v>
      </c>
      <c r="E21" s="1" t="n">
        <v>1812</v>
      </c>
      <c r="F21" s="1" t="n">
        <v>1841.5</v>
      </c>
      <c r="G21" s="1" t="n">
        <v>2225.8</v>
      </c>
      <c r="H21" s="1" t="n">
        <v>2262</v>
      </c>
      <c r="I21" s="1" t="n">
        <v>2468</v>
      </c>
      <c r="J21" s="1" t="n">
        <v>2572</v>
      </c>
    </row>
    <row r="22" customFormat="false" ht="14.4" hidden="false" customHeight="false" outlineLevel="0" collapsed="false">
      <c r="A22" s="1" t="s">
        <v>17</v>
      </c>
      <c r="B22" s="1" t="n">
        <v>688.9</v>
      </c>
      <c r="C22" s="1" t="n">
        <v>681.2</v>
      </c>
      <c r="D22" s="1" t="n">
        <v>690.2</v>
      </c>
      <c r="E22" s="1" t="n">
        <v>530.4</v>
      </c>
      <c r="F22" s="1" t="n">
        <v>557</v>
      </c>
      <c r="G22" s="1" t="n">
        <v>653.9</v>
      </c>
      <c r="H22" s="1" t="n">
        <v>613</v>
      </c>
      <c r="I22" s="1" t="n">
        <v>549</v>
      </c>
      <c r="J22" s="1" t="n">
        <v>614</v>
      </c>
      <c r="K22" s="1" t="n">
        <v>635</v>
      </c>
    </row>
    <row r="23" customFormat="false" ht="14.4" hidden="false" customHeight="false" outlineLevel="0" collapsed="false">
      <c r="A23" s="1" t="s">
        <v>18</v>
      </c>
      <c r="B23" s="1" t="n">
        <v>1862.2</v>
      </c>
      <c r="C23" s="1" t="n">
        <v>1963.8</v>
      </c>
      <c r="D23" s="1" t="n">
        <v>2106.3</v>
      </c>
      <c r="E23" s="1" t="n">
        <v>1875</v>
      </c>
      <c r="F23" s="1" t="n">
        <v>1625.7</v>
      </c>
      <c r="G23" s="1" t="n">
        <v>1710</v>
      </c>
      <c r="H23" s="1" t="n">
        <v>2024</v>
      </c>
      <c r="I23" s="1" t="n">
        <v>1966</v>
      </c>
      <c r="J23" s="1" t="n">
        <v>2135</v>
      </c>
      <c r="K23" s="1" t="n">
        <v>1295</v>
      </c>
    </row>
    <row r="24" customFormat="false" ht="14.4" hidden="false" customHeight="false" outlineLevel="0" collapsed="false">
      <c r="A24" s="1" t="s">
        <v>19</v>
      </c>
      <c r="B24" s="1" t="n">
        <v>123.7</v>
      </c>
      <c r="C24" s="1" t="n">
        <v>179.1</v>
      </c>
      <c r="D24" s="1" t="n">
        <v>184.1</v>
      </c>
      <c r="E24" s="1" t="n">
        <v>-21</v>
      </c>
      <c r="F24" s="1" t="n">
        <v>89.7</v>
      </c>
      <c r="G24" s="1" t="n">
        <v>72.4</v>
      </c>
      <c r="H24" s="1" t="n">
        <v>55</v>
      </c>
      <c r="I24" s="1" t="n">
        <v>264</v>
      </c>
      <c r="J24" s="1" t="n">
        <v>224</v>
      </c>
      <c r="K24" s="1" t="n">
        <v>1584</v>
      </c>
    </row>
    <row r="25" customFormat="false" ht="14.4" hidden="false" customHeight="false" outlineLevel="0" collapsed="false">
      <c r="A25" s="1" t="s">
        <v>20</v>
      </c>
      <c r="B25" s="1" t="n">
        <v>-265</v>
      </c>
      <c r="C25" s="1" t="n">
        <v>172.4</v>
      </c>
      <c r="D25" s="1" t="n">
        <v>69.8</v>
      </c>
      <c r="E25" s="1" t="n">
        <v>86.6</v>
      </c>
      <c r="F25" s="1" t="n">
        <v>-24.7</v>
      </c>
      <c r="G25" s="1" t="n">
        <v>-116.8</v>
      </c>
      <c r="H25" s="1" t="n">
        <v>249</v>
      </c>
      <c r="I25" s="1" t="n">
        <v>208</v>
      </c>
      <c r="J25" s="1" t="n">
        <v>271</v>
      </c>
      <c r="K25" s="1" t="n">
        <v>516</v>
      </c>
    </row>
    <row r="26" customFormat="false" ht="14.4" hidden="false" customHeight="false" outlineLevel="0" collapsed="false">
      <c r="A26" s="1" t="s">
        <v>21</v>
      </c>
      <c r="B26" s="1" t="n">
        <v>188.6</v>
      </c>
      <c r="C26" s="1" t="n">
        <v>192.3</v>
      </c>
      <c r="D26" s="1" t="n">
        <v>214.7</v>
      </c>
      <c r="E26" s="1" t="n">
        <v>285.3</v>
      </c>
      <c r="F26" s="1" t="n">
        <v>299.1</v>
      </c>
      <c r="G26" s="1" t="n">
        <v>303.8</v>
      </c>
      <c r="H26" s="1" t="n">
        <v>283</v>
      </c>
      <c r="I26" s="1" t="n">
        <v>275</v>
      </c>
      <c r="J26" s="1" t="n">
        <v>283</v>
      </c>
      <c r="K26" s="1" t="n">
        <v>289</v>
      </c>
    </row>
    <row r="27" customFormat="false" ht="14.4" hidden="false" customHeight="false" outlineLevel="0" collapsed="false">
      <c r="A27" s="1" t="s">
        <v>22</v>
      </c>
      <c r="B27" s="1" t="n">
        <v>375.1</v>
      </c>
      <c r="C27" s="1" t="n">
        <v>277.5</v>
      </c>
      <c r="D27" s="1" t="n">
        <v>237.2</v>
      </c>
      <c r="E27" s="1" t="n">
        <v>212</v>
      </c>
      <c r="F27" s="1" t="n">
        <v>187.6</v>
      </c>
      <c r="G27" s="1" t="n">
        <v>88</v>
      </c>
      <c r="H27" s="1" t="n">
        <v>104</v>
      </c>
      <c r="I27" s="1" t="n">
        <v>76</v>
      </c>
      <c r="J27" s="1" t="n">
        <v>89</v>
      </c>
      <c r="K27" s="1" t="n">
        <v>158</v>
      </c>
    </row>
    <row r="28" customFormat="false" ht="14.4" hidden="false" customHeight="false" outlineLevel="0" collapsed="false">
      <c r="A28" s="1" t="s">
        <v>23</v>
      </c>
      <c r="B28" s="1" t="n">
        <v>162.7</v>
      </c>
      <c r="C28" s="1" t="n">
        <v>911.8</v>
      </c>
      <c r="D28" s="1" t="n">
        <v>1011.7</v>
      </c>
      <c r="E28" s="1" t="n">
        <v>1160.3</v>
      </c>
      <c r="F28" s="1" t="n">
        <v>540</v>
      </c>
      <c r="G28" s="1" t="n">
        <v>1086.6</v>
      </c>
      <c r="H28" s="1" t="n">
        <v>1279</v>
      </c>
      <c r="I28" s="1" t="n">
        <v>1857</v>
      </c>
      <c r="J28" s="1" t="n">
        <v>2135</v>
      </c>
      <c r="K28" s="1" t="n">
        <v>2348</v>
      </c>
    </row>
    <row r="29" customFormat="false" ht="14.4" hidden="false" customHeight="false" outlineLevel="0" collapsed="false">
      <c r="A29" s="1" t="s">
        <v>24</v>
      </c>
      <c r="B29" s="1" t="n">
        <v>69.7</v>
      </c>
      <c r="C29" s="1" t="n">
        <v>259.9</v>
      </c>
      <c r="D29" s="1" t="n">
        <v>328.1</v>
      </c>
      <c r="E29" s="1" t="n">
        <v>539.7</v>
      </c>
      <c r="F29" s="1" t="n">
        <v>177.9</v>
      </c>
      <c r="G29" s="1" t="n">
        <v>276</v>
      </c>
      <c r="H29" s="1" t="n">
        <v>153</v>
      </c>
      <c r="I29" s="1" t="n">
        <v>449</v>
      </c>
      <c r="J29" s="1" t="n">
        <v>553</v>
      </c>
      <c r="K29" s="1" t="n">
        <v>510</v>
      </c>
    </row>
    <row r="30" customFormat="false" ht="14.4" hidden="false" customHeight="false" outlineLevel="0" collapsed="false">
      <c r="A30" s="1" t="s">
        <v>25</v>
      </c>
      <c r="B30" s="1" t="n">
        <v>100.1</v>
      </c>
      <c r="C30" s="1" t="n">
        <v>633.8</v>
      </c>
      <c r="D30" s="1" t="n">
        <v>700.2</v>
      </c>
      <c r="E30" s="1" t="n">
        <v>658.9</v>
      </c>
      <c r="F30" s="1" t="n">
        <v>383.6</v>
      </c>
      <c r="G30" s="1" t="n">
        <v>828.6</v>
      </c>
      <c r="H30" s="1" t="n">
        <v>1137</v>
      </c>
      <c r="I30" s="1" t="n">
        <v>1408</v>
      </c>
      <c r="J30" s="1" t="n">
        <v>1582</v>
      </c>
      <c r="K30" s="1" t="n">
        <v>1838</v>
      </c>
    </row>
    <row r="31" customFormat="false" ht="14.4" hidden="false" customHeight="false" outlineLevel="0" collapsed="false">
      <c r="A31" s="1" t="s">
        <v>26</v>
      </c>
      <c r="I31" s="1" t="n">
        <v>652.5</v>
      </c>
      <c r="J31" s="1" t="n">
        <v>870</v>
      </c>
      <c r="K31" s="1" t="n">
        <v>797.5</v>
      </c>
    </row>
    <row r="33" customFormat="false" ht="14.4" hidden="false" customHeight="false" outlineLevel="0" collapsed="false">
      <c r="E33" s="1" t="n">
        <f aca="false">SUM(E18:E24)+E26+E27</f>
        <v>8251.7</v>
      </c>
    </row>
    <row r="40" customFormat="false" ht="14.4" hidden="false" customHeight="false" outlineLevel="0" collapsed="false">
      <c r="A40" s="2" t="s">
        <v>27</v>
      </c>
    </row>
    <row r="41" s="7" customFormat="true" ht="14.4" hidden="false" customHeight="false" outlineLevel="0" collapsed="false">
      <c r="A41" s="5" t="s">
        <v>11</v>
      </c>
      <c r="B41" s="6" t="n">
        <v>45291</v>
      </c>
      <c r="C41" s="6" t="n">
        <v>45382</v>
      </c>
      <c r="D41" s="6" t="n">
        <v>45473</v>
      </c>
      <c r="E41" s="6" t="n">
        <v>45565</v>
      </c>
      <c r="F41" s="6" t="n">
        <v>45657</v>
      </c>
      <c r="G41" s="6" t="n">
        <v>45747</v>
      </c>
      <c r="H41" s="6" t="n">
        <v>45838</v>
      </c>
      <c r="I41" s="6" t="n">
        <v>45930</v>
      </c>
      <c r="J41" s="6" t="n">
        <v>46022</v>
      </c>
      <c r="K41" s="6" t="n">
        <v>46112</v>
      </c>
    </row>
    <row r="42" customFormat="false" ht="14.4" hidden="false" customHeight="false" outlineLevel="0" collapsed="false">
      <c r="A42" s="1" t="s">
        <v>12</v>
      </c>
      <c r="B42" s="1" t="n">
        <v>3002</v>
      </c>
      <c r="C42" s="1" t="n">
        <v>2783</v>
      </c>
      <c r="D42" s="1" t="n">
        <v>2761</v>
      </c>
      <c r="E42" s="1" t="n">
        <v>2844</v>
      </c>
      <c r="F42" s="1" t="n">
        <v>3433</v>
      </c>
      <c r="G42" s="1" t="n">
        <v>2946</v>
      </c>
      <c r="H42" s="1" t="n">
        <v>3021</v>
      </c>
      <c r="I42" s="1" t="n">
        <v>3173</v>
      </c>
      <c r="J42" s="1" t="n">
        <v>3691</v>
      </c>
      <c r="K42" s="1" t="n">
        <v>3054</v>
      </c>
    </row>
    <row r="43" customFormat="false" ht="14.4" hidden="false" customHeight="false" outlineLevel="0" collapsed="false">
      <c r="A43" s="1" t="s">
        <v>28</v>
      </c>
      <c r="B43" s="1" t="n">
        <v>2516</v>
      </c>
      <c r="C43" s="1" t="n">
        <v>2449</v>
      </c>
      <c r="D43" s="1" t="n">
        <v>2049</v>
      </c>
      <c r="E43" s="1" t="n">
        <v>2344</v>
      </c>
      <c r="F43" s="1" t="n">
        <v>2868</v>
      </c>
      <c r="G43" s="1" t="n">
        <v>2437</v>
      </c>
      <c r="H43" s="1" t="n">
        <v>2383</v>
      </c>
      <c r="I43" s="1" t="n">
        <v>2514</v>
      </c>
      <c r="J43" s="1" t="n">
        <v>3077</v>
      </c>
      <c r="K43" s="1" t="n">
        <v>2461</v>
      </c>
    </row>
    <row r="44" customFormat="false" ht="14.4" hidden="false" customHeight="false" outlineLevel="0" collapsed="false">
      <c r="A44" s="1" t="s">
        <v>20</v>
      </c>
      <c r="B44" s="1" t="n">
        <v>52</v>
      </c>
      <c r="C44" s="1" t="n">
        <v>80</v>
      </c>
      <c r="D44" s="1" t="n">
        <v>35</v>
      </c>
      <c r="E44" s="1" t="n">
        <v>54</v>
      </c>
      <c r="F44" s="1" t="n">
        <v>7</v>
      </c>
      <c r="G44" s="1" t="n">
        <v>136</v>
      </c>
      <c r="H44" s="1" t="n">
        <v>58</v>
      </c>
      <c r="I44" s="1" t="n">
        <v>51</v>
      </c>
      <c r="J44" s="1" t="n">
        <v>28</v>
      </c>
      <c r="K44" s="1" t="n">
        <v>226</v>
      </c>
    </row>
    <row r="45" customFormat="false" ht="14.4" hidden="false" customHeight="false" outlineLevel="0" collapsed="false">
      <c r="A45" s="1" t="s">
        <v>21</v>
      </c>
      <c r="B45" s="1" t="n">
        <v>63</v>
      </c>
      <c r="C45" s="1" t="n">
        <v>73</v>
      </c>
      <c r="D45" s="1" t="n">
        <v>72</v>
      </c>
      <c r="E45" s="1" t="n">
        <v>69</v>
      </c>
      <c r="F45" s="1" t="n">
        <v>72</v>
      </c>
      <c r="G45" s="1" t="n">
        <v>70</v>
      </c>
      <c r="H45" s="1" t="n">
        <v>76</v>
      </c>
      <c r="I45" s="1" t="n">
        <v>65</v>
      </c>
      <c r="J45" s="1" t="n">
        <v>80</v>
      </c>
      <c r="K45" s="1" t="n">
        <v>76</v>
      </c>
    </row>
    <row r="46" customFormat="false" ht="14.4" hidden="false" customHeight="false" outlineLevel="0" collapsed="false">
      <c r="A46" s="1" t="s">
        <v>22</v>
      </c>
      <c r="B46" s="1" t="n">
        <v>16</v>
      </c>
      <c r="C46" s="1" t="n">
        <v>29</v>
      </c>
      <c r="D46" s="1" t="n">
        <v>22</v>
      </c>
      <c r="E46" s="1" t="n">
        <v>25</v>
      </c>
      <c r="F46" s="1" t="n">
        <v>20</v>
      </c>
      <c r="G46" s="1" t="n">
        <v>22</v>
      </c>
      <c r="H46" s="1" t="n">
        <v>49</v>
      </c>
      <c r="I46" s="1" t="n">
        <v>21</v>
      </c>
      <c r="J46" s="1" t="n">
        <v>19</v>
      </c>
      <c r="K46" s="1" t="n">
        <v>69</v>
      </c>
    </row>
    <row r="47" customFormat="false" ht="14.4" hidden="false" customHeight="false" outlineLevel="0" collapsed="false">
      <c r="A47" s="1" t="s">
        <v>23</v>
      </c>
      <c r="B47" s="1" t="n">
        <v>459</v>
      </c>
      <c r="C47" s="1" t="n">
        <v>312</v>
      </c>
      <c r="D47" s="1" t="n">
        <v>653</v>
      </c>
      <c r="E47" s="1" t="n">
        <v>460</v>
      </c>
      <c r="F47" s="1" t="n">
        <v>480</v>
      </c>
      <c r="G47" s="1" t="n">
        <v>553</v>
      </c>
      <c r="H47" s="1" t="n">
        <v>571</v>
      </c>
      <c r="I47" s="1" t="n">
        <v>624</v>
      </c>
      <c r="J47" s="1" t="n">
        <v>543</v>
      </c>
      <c r="K47" s="1" t="n">
        <v>674</v>
      </c>
    </row>
    <row r="48" customFormat="false" ht="14.4" hidden="false" customHeight="false" outlineLevel="0" collapsed="false">
      <c r="A48" s="1" t="s">
        <v>24</v>
      </c>
      <c r="B48" s="1" t="n">
        <v>109</v>
      </c>
      <c r="C48" s="1" t="n">
        <v>71</v>
      </c>
      <c r="D48" s="1" t="n">
        <v>168</v>
      </c>
      <c r="E48" s="1" t="n">
        <v>119</v>
      </c>
      <c r="F48" s="1" t="n">
        <v>145</v>
      </c>
      <c r="G48" s="1" t="n">
        <v>132</v>
      </c>
      <c r="H48" s="1" t="n">
        <v>154</v>
      </c>
      <c r="I48" s="1" t="n">
        <v>160</v>
      </c>
      <c r="J48" s="1" t="n">
        <v>125</v>
      </c>
      <c r="K48" s="1" t="n">
        <v>135</v>
      </c>
    </row>
    <row r="49" customFormat="false" ht="14.4" hidden="false" customHeight="false" outlineLevel="0" collapsed="false">
      <c r="A49" s="1" t="s">
        <v>25</v>
      </c>
      <c r="B49" s="1" t="n">
        <v>350</v>
      </c>
      <c r="C49" s="1" t="n">
        <v>241</v>
      </c>
      <c r="D49" s="1" t="n">
        <v>485</v>
      </c>
      <c r="E49" s="1" t="n">
        <v>341</v>
      </c>
      <c r="F49" s="1" t="n">
        <v>335</v>
      </c>
      <c r="G49" s="1" t="n">
        <v>421</v>
      </c>
      <c r="H49" s="1" t="n">
        <v>417</v>
      </c>
      <c r="I49" s="1" t="n">
        <v>464</v>
      </c>
      <c r="J49" s="1" t="n">
        <v>418</v>
      </c>
      <c r="K49" s="1" t="n">
        <v>539</v>
      </c>
    </row>
    <row r="50" customFormat="false" ht="14.4" hidden="false" customHeight="false" outlineLevel="0" collapsed="false">
      <c r="A50" s="1" t="s">
        <v>29</v>
      </c>
      <c r="B50" s="1" t="n">
        <v>486</v>
      </c>
      <c r="C50" s="1" t="n">
        <v>334</v>
      </c>
      <c r="D50" s="1" t="n">
        <v>712</v>
      </c>
      <c r="E50" s="1" t="n">
        <v>500</v>
      </c>
      <c r="F50" s="1" t="n">
        <v>565</v>
      </c>
      <c r="G50" s="1" t="n">
        <v>509</v>
      </c>
      <c r="H50" s="1" t="n">
        <v>638</v>
      </c>
      <c r="I50" s="1" t="n">
        <v>659</v>
      </c>
      <c r="J50" s="1" t="n">
        <v>614</v>
      </c>
      <c r="K50" s="1" t="n">
        <v>593</v>
      </c>
    </row>
    <row r="55" customFormat="false" ht="14.4" hidden="false" customHeight="false" outlineLevel="0" collapsed="false">
      <c r="A55" s="2" t="s">
        <v>30</v>
      </c>
    </row>
    <row r="56" s="7" customFormat="true" ht="14.4" hidden="false" customHeight="false" outlineLevel="0" collapsed="false">
      <c r="A56" s="5" t="s">
        <v>11</v>
      </c>
      <c r="B56" s="6" t="n">
        <v>42825</v>
      </c>
      <c r="C56" s="6" t="n">
        <v>43190</v>
      </c>
      <c r="D56" s="6" t="n">
        <v>43555</v>
      </c>
      <c r="E56" s="6" t="n">
        <v>43921</v>
      </c>
      <c r="F56" s="6" t="n">
        <v>44286</v>
      </c>
      <c r="G56" s="6" t="n">
        <v>44651</v>
      </c>
      <c r="H56" s="6" t="n">
        <v>45016</v>
      </c>
      <c r="I56" s="6" t="n">
        <v>45382</v>
      </c>
      <c r="J56" s="6" t="n">
        <v>45747</v>
      </c>
      <c r="K56" s="6" t="n">
        <v>46112</v>
      </c>
    </row>
    <row r="57" customFormat="false" ht="14.4" hidden="false" customHeight="false" outlineLevel="0" collapsed="false">
      <c r="A57" s="1" t="s">
        <v>31</v>
      </c>
      <c r="B57" s="1" t="n">
        <v>145.3</v>
      </c>
      <c r="C57" s="1" t="n">
        <v>145.3</v>
      </c>
      <c r="D57" s="1" t="n">
        <v>145.3</v>
      </c>
      <c r="E57" s="1" t="n">
        <v>145.3</v>
      </c>
      <c r="F57" s="1" t="n">
        <v>145.3</v>
      </c>
      <c r="G57" s="1" t="n">
        <v>145.3</v>
      </c>
      <c r="H57" s="1" t="n">
        <v>145</v>
      </c>
      <c r="I57" s="1" t="n">
        <v>145</v>
      </c>
      <c r="J57" s="1" t="n">
        <v>145</v>
      </c>
      <c r="K57" s="1" t="n">
        <v>145</v>
      </c>
    </row>
    <row r="58" customFormat="false" ht="14.4" hidden="false" customHeight="false" outlineLevel="0" collapsed="false">
      <c r="A58" s="1" t="s">
        <v>32</v>
      </c>
      <c r="B58" s="1" t="n">
        <v>1640.3</v>
      </c>
      <c r="C58" s="1" t="n">
        <v>2273.8</v>
      </c>
      <c r="D58" s="1" t="n">
        <v>2945</v>
      </c>
      <c r="E58" s="1" t="n">
        <v>3582.7</v>
      </c>
      <c r="F58" s="1" t="n">
        <v>3974.5</v>
      </c>
      <c r="G58" s="1" t="n">
        <v>4808.4</v>
      </c>
      <c r="H58" s="1" t="n">
        <v>5854</v>
      </c>
      <c r="I58" s="1" t="n">
        <v>6976</v>
      </c>
      <c r="J58" s="1" t="n">
        <v>7959</v>
      </c>
      <c r="K58" s="1" t="n">
        <v>8808</v>
      </c>
    </row>
    <row r="59" customFormat="false" ht="14.4" hidden="false" customHeight="false" outlineLevel="0" collapsed="false">
      <c r="A59" s="1" t="s">
        <v>33</v>
      </c>
      <c r="B59" s="1" t="n">
        <v>4143.6</v>
      </c>
      <c r="C59" s="1" t="n">
        <v>3421.1</v>
      </c>
      <c r="D59" s="1" t="n">
        <v>2883.2</v>
      </c>
      <c r="E59" s="1" t="n">
        <v>2570.2</v>
      </c>
      <c r="F59" s="1" t="n">
        <v>1036.8</v>
      </c>
      <c r="G59" s="1" t="n">
        <v>605.4</v>
      </c>
      <c r="H59" s="1" t="n">
        <v>183</v>
      </c>
      <c r="I59" s="1" t="n">
        <v>265</v>
      </c>
      <c r="J59" s="1" t="n">
        <v>480</v>
      </c>
      <c r="K59" s="1" t="n">
        <v>413</v>
      </c>
    </row>
    <row r="60" customFormat="false" ht="14.4" hidden="false" customHeight="false" outlineLevel="0" collapsed="false">
      <c r="A60" s="1" t="s">
        <v>34</v>
      </c>
      <c r="B60" s="1" t="n">
        <v>2966.7</v>
      </c>
      <c r="C60" s="1" t="n">
        <v>3085.6</v>
      </c>
      <c r="D60" s="1" t="n">
        <v>3135.4</v>
      </c>
      <c r="E60" s="1" t="n">
        <v>2545.5</v>
      </c>
      <c r="F60" s="1" t="n">
        <v>3354.3</v>
      </c>
      <c r="G60" s="1" t="n">
        <v>3303.9</v>
      </c>
      <c r="H60" s="1" t="n">
        <v>3534</v>
      </c>
      <c r="I60" s="1" t="n">
        <v>3790</v>
      </c>
      <c r="J60" s="1" t="n">
        <v>4592</v>
      </c>
      <c r="K60" s="1" t="n">
        <v>5103</v>
      </c>
    </row>
    <row r="61" s="2" customFormat="true" ht="14.4" hidden="false" customHeight="false" outlineLevel="0" collapsed="false">
      <c r="A61" s="2" t="s">
        <v>35</v>
      </c>
      <c r="B61" s="2" t="n">
        <v>8895.9</v>
      </c>
      <c r="C61" s="2" t="n">
        <v>8925.8</v>
      </c>
      <c r="D61" s="2" t="n">
        <v>9108.9</v>
      </c>
      <c r="E61" s="2" t="n">
        <v>8843.7</v>
      </c>
      <c r="F61" s="2" t="n">
        <v>8510.9</v>
      </c>
      <c r="G61" s="2" t="n">
        <v>8863</v>
      </c>
      <c r="H61" s="2" t="n">
        <v>9716</v>
      </c>
      <c r="I61" s="2" t="n">
        <v>11176</v>
      </c>
      <c r="J61" s="2" t="n">
        <v>13176</v>
      </c>
      <c r="K61" s="2" t="n">
        <v>14469</v>
      </c>
    </row>
    <row r="62" customFormat="false" ht="14.4" hidden="false" customHeight="false" outlineLevel="0" collapsed="false">
      <c r="A62" s="1" t="s">
        <v>36</v>
      </c>
      <c r="B62" s="1" t="n">
        <v>1916.6</v>
      </c>
      <c r="C62" s="1" t="n">
        <v>1791.3</v>
      </c>
      <c r="D62" s="1" t="n">
        <v>1841.2</v>
      </c>
      <c r="E62" s="1" t="n">
        <v>1955.9</v>
      </c>
      <c r="F62" s="1" t="n">
        <v>1893.1</v>
      </c>
      <c r="G62" s="1" t="n">
        <v>1854.8</v>
      </c>
      <c r="H62" s="1" t="n">
        <v>1534</v>
      </c>
      <c r="I62" s="1" t="n">
        <v>1560</v>
      </c>
      <c r="J62" s="1" t="n">
        <v>1712</v>
      </c>
      <c r="K62" s="1" t="n">
        <v>1404</v>
      </c>
    </row>
    <row r="63" customFormat="false" ht="14.4" hidden="false" customHeight="false" outlineLevel="0" collapsed="false">
      <c r="A63" s="1" t="s">
        <v>37</v>
      </c>
      <c r="B63" s="1" t="n">
        <v>199.3</v>
      </c>
      <c r="C63" s="1" t="n">
        <v>101.8</v>
      </c>
      <c r="D63" s="1" t="n">
        <v>118.4</v>
      </c>
      <c r="E63" s="1" t="n">
        <v>121.1</v>
      </c>
      <c r="F63" s="1" t="n">
        <v>96.7</v>
      </c>
      <c r="G63" s="1" t="n">
        <v>95.7</v>
      </c>
      <c r="H63" s="1" t="n">
        <v>83</v>
      </c>
      <c r="I63" s="1" t="n">
        <v>37</v>
      </c>
      <c r="J63" s="1" t="n">
        <v>72</v>
      </c>
      <c r="K63" s="1" t="n">
        <v>77</v>
      </c>
    </row>
    <row r="64" customFormat="false" ht="14.4" hidden="false" customHeight="false" outlineLevel="0" collapsed="false">
      <c r="A64" s="1" t="s">
        <v>38</v>
      </c>
      <c r="B64" s="1" t="n">
        <v>0.1</v>
      </c>
      <c r="C64" s="1" t="n">
        <v>0.1</v>
      </c>
      <c r="D64" s="1" t="n">
        <v>25.2</v>
      </c>
      <c r="E64" s="1" t="n">
        <v>21.9</v>
      </c>
      <c r="G64" s="1" t="n">
        <v>222.1</v>
      </c>
      <c r="H64" s="1" t="n">
        <v>286</v>
      </c>
      <c r="I64" s="1" t="n">
        <v>645</v>
      </c>
      <c r="J64" s="1" t="n">
        <v>923</v>
      </c>
      <c r="K64" s="1" t="n">
        <v>1171</v>
      </c>
    </row>
    <row r="65" customFormat="false" ht="14.4" hidden="false" customHeight="false" outlineLevel="0" collapsed="false">
      <c r="A65" s="1" t="s">
        <v>39</v>
      </c>
      <c r="B65" s="1" t="n">
        <v>6779.9</v>
      </c>
      <c r="C65" s="1" t="n">
        <v>7032.6</v>
      </c>
      <c r="D65" s="1" t="n">
        <v>7124.1</v>
      </c>
      <c r="E65" s="1" t="n">
        <v>6744.8</v>
      </c>
      <c r="F65" s="1" t="n">
        <v>6521.1</v>
      </c>
      <c r="G65" s="1" t="n">
        <v>6690.4</v>
      </c>
      <c r="H65" s="1" t="n">
        <v>7813</v>
      </c>
      <c r="I65" s="1" t="n">
        <v>8934</v>
      </c>
      <c r="J65" s="1" t="n">
        <v>10469</v>
      </c>
      <c r="K65" s="1" t="n">
        <v>11817</v>
      </c>
    </row>
    <row r="66" s="2" customFormat="true" ht="14.4" hidden="false" customHeight="false" outlineLevel="0" collapsed="false">
      <c r="A66" s="2" t="s">
        <v>35</v>
      </c>
      <c r="B66" s="2" t="n">
        <v>8895.9</v>
      </c>
      <c r="C66" s="2" t="n">
        <v>8925.8</v>
      </c>
      <c r="D66" s="2" t="n">
        <v>9108.9</v>
      </c>
      <c r="E66" s="2" t="n">
        <v>8843.7</v>
      </c>
      <c r="F66" s="2" t="n">
        <v>8510.9</v>
      </c>
      <c r="G66" s="2" t="n">
        <v>8863</v>
      </c>
      <c r="H66" s="2" t="n">
        <v>9716</v>
      </c>
      <c r="I66" s="2" t="n">
        <v>11176</v>
      </c>
      <c r="J66" s="2" t="n">
        <v>13176</v>
      </c>
      <c r="K66" s="2" t="n">
        <v>14469</v>
      </c>
    </row>
    <row r="67" customFormat="false" ht="14.4" hidden="false" customHeight="false" outlineLevel="0" collapsed="false">
      <c r="A67" s="1" t="s">
        <v>40</v>
      </c>
      <c r="B67" s="1" t="n">
        <v>2953.4</v>
      </c>
      <c r="C67" s="1" t="n">
        <v>2711.2</v>
      </c>
      <c r="D67" s="1" t="n">
        <v>2542.5</v>
      </c>
      <c r="E67" s="1" t="n">
        <v>2283.5</v>
      </c>
      <c r="F67" s="1" t="n">
        <v>2187.2</v>
      </c>
      <c r="G67" s="1" t="n">
        <v>2373.6</v>
      </c>
      <c r="H67" s="1" t="n">
        <v>2434</v>
      </c>
      <c r="I67" s="1" t="n">
        <v>3056</v>
      </c>
      <c r="J67" s="1" t="n">
        <v>3410</v>
      </c>
      <c r="K67" s="1" t="n">
        <v>3609</v>
      </c>
    </row>
    <row r="68" customFormat="false" ht="14.4" hidden="false" customHeight="false" outlineLevel="0" collapsed="false">
      <c r="A68" s="1" t="s">
        <v>41</v>
      </c>
      <c r="B68" s="1" t="n">
        <v>1927.6</v>
      </c>
      <c r="C68" s="1" t="n">
        <v>1919.7</v>
      </c>
      <c r="D68" s="1" t="n">
        <v>1934.3</v>
      </c>
      <c r="E68" s="1" t="n">
        <v>1927.5</v>
      </c>
      <c r="F68" s="1" t="n">
        <v>2051.9</v>
      </c>
      <c r="G68" s="1" t="n">
        <v>2156.7</v>
      </c>
      <c r="H68" s="1" t="n">
        <v>2230</v>
      </c>
      <c r="I68" s="1" t="n">
        <v>2063</v>
      </c>
      <c r="J68" s="1" t="n">
        <v>2305</v>
      </c>
      <c r="K68" s="1" t="n">
        <v>2668</v>
      </c>
    </row>
    <row r="69" customFormat="false" ht="14.4" hidden="false" customHeight="false" outlineLevel="0" collapsed="false">
      <c r="A69" s="1" t="s">
        <v>42</v>
      </c>
      <c r="B69" s="1" t="n">
        <v>87.2</v>
      </c>
      <c r="C69" s="1" t="n">
        <v>256</v>
      </c>
      <c r="D69" s="1" t="n">
        <v>282.9</v>
      </c>
      <c r="E69" s="1" t="n">
        <v>73.5</v>
      </c>
      <c r="F69" s="1" t="n">
        <v>83.9</v>
      </c>
      <c r="G69" s="1" t="n">
        <v>60.3</v>
      </c>
      <c r="H69" s="1" t="n">
        <v>883</v>
      </c>
      <c r="I69" s="1" t="n">
        <v>1269</v>
      </c>
      <c r="J69" s="1" t="n">
        <v>2030</v>
      </c>
      <c r="K69" s="1" t="n">
        <v>1977</v>
      </c>
    </row>
    <row r="70" customFormat="false" ht="14.4" hidden="false" customHeight="false" outlineLevel="0" collapsed="false">
      <c r="A70" s="1" t="s">
        <v>43</v>
      </c>
      <c r="B70" s="1" t="n">
        <v>145327743</v>
      </c>
      <c r="C70" s="1" t="n">
        <v>145327743</v>
      </c>
      <c r="D70" s="1" t="n">
        <v>726638715</v>
      </c>
      <c r="E70" s="1" t="n">
        <v>726638715</v>
      </c>
      <c r="F70" s="1" t="n">
        <v>726638715</v>
      </c>
      <c r="G70" s="1" t="n">
        <v>726638715</v>
      </c>
      <c r="H70" s="1" t="n">
        <v>727350853</v>
      </c>
      <c r="I70" s="1" t="n">
        <v>727350853</v>
      </c>
      <c r="J70" s="1" t="n">
        <v>727350853</v>
      </c>
    </row>
    <row r="71" customFormat="false" ht="14.4" hidden="false" customHeight="false" outlineLevel="0" collapsed="false">
      <c r="A71" s="1" t="s">
        <v>44</v>
      </c>
    </row>
    <row r="72" customFormat="false" ht="14.4" hidden="false" customHeight="false" outlineLevel="0" collapsed="false">
      <c r="A72" s="1" t="s">
        <v>45</v>
      </c>
      <c r="B72" s="1" t="n">
        <v>10</v>
      </c>
      <c r="C72" s="1" t="n">
        <v>10</v>
      </c>
      <c r="D72" s="1" t="n">
        <v>2</v>
      </c>
      <c r="E72" s="1" t="n">
        <v>2</v>
      </c>
      <c r="F72" s="1" t="n">
        <v>2</v>
      </c>
      <c r="G72" s="1" t="n">
        <v>2</v>
      </c>
      <c r="H72" s="1" t="n">
        <v>2</v>
      </c>
      <c r="I72" s="1" t="n">
        <v>2</v>
      </c>
      <c r="J72" s="1" t="n">
        <v>2</v>
      </c>
      <c r="K72" s="1" t="n">
        <v>2</v>
      </c>
    </row>
    <row r="80" customFormat="false" ht="14.4" hidden="false" customHeight="false" outlineLevel="0" collapsed="false">
      <c r="A80" s="2" t="s">
        <v>46</v>
      </c>
    </row>
    <row r="81" s="7" customFormat="true" ht="14.4" hidden="false" customHeight="false" outlineLevel="0" collapsed="false">
      <c r="A81" s="5" t="s">
        <v>11</v>
      </c>
      <c r="B81" s="6" t="n">
        <v>42825</v>
      </c>
      <c r="C81" s="6" t="n">
        <v>43190</v>
      </c>
      <c r="D81" s="6" t="n">
        <v>43555</v>
      </c>
      <c r="E81" s="6" t="n">
        <v>43921</v>
      </c>
      <c r="F81" s="6" t="n">
        <v>44286</v>
      </c>
      <c r="G81" s="6" t="n">
        <v>44651</v>
      </c>
      <c r="H81" s="6" t="n">
        <v>45016</v>
      </c>
      <c r="I81" s="6" t="n">
        <v>45382</v>
      </c>
      <c r="J81" s="6" t="n">
        <v>45747</v>
      </c>
      <c r="K81" s="6" t="n">
        <v>46112</v>
      </c>
    </row>
    <row r="82" s="2" customFormat="true" ht="14.4" hidden="false" customHeight="false" outlineLevel="0" collapsed="false">
      <c r="A82" s="1" t="s">
        <v>47</v>
      </c>
      <c r="B82" s="2" t="n">
        <v>646.8</v>
      </c>
      <c r="C82" s="2" t="n">
        <v>925.1</v>
      </c>
      <c r="D82" s="2" t="n">
        <v>948.3</v>
      </c>
      <c r="E82" s="2" t="n">
        <v>783.2</v>
      </c>
      <c r="F82" s="2" t="n">
        <v>1817.7</v>
      </c>
      <c r="G82" s="2" t="n">
        <v>977.4</v>
      </c>
      <c r="H82" s="2" t="n">
        <v>615</v>
      </c>
      <c r="I82" s="2" t="n">
        <v>1118</v>
      </c>
      <c r="J82" s="2" t="n">
        <v>1947</v>
      </c>
      <c r="K82" s="2" t="n">
        <v>1459</v>
      </c>
    </row>
    <row r="83" customFormat="false" ht="14.4" hidden="false" customHeight="false" outlineLevel="0" collapsed="false">
      <c r="A83" s="1" t="s">
        <v>48</v>
      </c>
      <c r="B83" s="1" t="n">
        <v>-227.4</v>
      </c>
      <c r="C83" s="1" t="n">
        <v>104.4</v>
      </c>
      <c r="D83" s="1" t="n">
        <v>-65.5</v>
      </c>
      <c r="E83" s="1" t="n">
        <v>-193.6</v>
      </c>
      <c r="F83" s="1" t="n">
        <v>-99.2</v>
      </c>
      <c r="G83" s="1" t="n">
        <v>-312.7</v>
      </c>
      <c r="H83" s="1" t="n">
        <v>-55</v>
      </c>
      <c r="I83" s="1" t="n">
        <v>226</v>
      </c>
      <c r="J83" s="1" t="n">
        <v>-1114</v>
      </c>
      <c r="K83" s="1" t="n">
        <v>-428</v>
      </c>
    </row>
    <row r="84" customFormat="false" ht="14.4" hidden="false" customHeight="false" outlineLevel="0" collapsed="false">
      <c r="A84" s="1" t="s">
        <v>49</v>
      </c>
      <c r="B84" s="1" t="n">
        <v>-474.9</v>
      </c>
      <c r="C84" s="1" t="n">
        <v>-966.1</v>
      </c>
      <c r="D84" s="1" t="n">
        <v>-808.3</v>
      </c>
      <c r="E84" s="1" t="n">
        <v>-739.9</v>
      </c>
      <c r="F84" s="1" t="n">
        <v>-1706.8</v>
      </c>
      <c r="G84" s="1" t="n">
        <v>-688</v>
      </c>
      <c r="H84" s="1" t="n">
        <v>-500</v>
      </c>
      <c r="I84" s="1" t="n">
        <v>-407</v>
      </c>
      <c r="J84" s="1" t="n">
        <v>-557</v>
      </c>
      <c r="K84" s="1" t="n">
        <v>-1450</v>
      </c>
    </row>
    <row r="85" s="2" customFormat="true" ht="14.4" hidden="false" customHeight="false" outlineLevel="0" collapsed="false">
      <c r="A85" s="1" t="s">
        <v>50</v>
      </c>
      <c r="B85" s="2" t="n">
        <v>-55.5</v>
      </c>
      <c r="C85" s="2" t="n">
        <v>63.4</v>
      </c>
      <c r="D85" s="2" t="n">
        <v>74.5</v>
      </c>
      <c r="E85" s="2" t="n">
        <v>-150.3</v>
      </c>
      <c r="F85" s="2" t="n">
        <v>11.7</v>
      </c>
      <c r="G85" s="2" t="n">
        <v>-23.3</v>
      </c>
      <c r="H85" s="2" t="n">
        <v>60</v>
      </c>
      <c r="I85" s="2" t="n">
        <v>937</v>
      </c>
      <c r="J85" s="2" t="n">
        <v>276</v>
      </c>
      <c r="K85" s="2" t="n">
        <v>-419</v>
      </c>
    </row>
    <row r="90" s="2" customFormat="true" ht="14.4" hidden="false" customHeight="false" outlineLevel="0" collapsed="false">
      <c r="A90" s="2" t="s">
        <v>51</v>
      </c>
      <c r="B90" s="2" t="n">
        <v>434.94</v>
      </c>
      <c r="C90" s="2" t="n">
        <v>625.93</v>
      </c>
      <c r="D90" s="2" t="n">
        <v>553.9</v>
      </c>
      <c r="E90" s="2" t="n">
        <v>484.6</v>
      </c>
      <c r="F90" s="2" t="n">
        <v>556.35</v>
      </c>
      <c r="G90" s="2" t="n">
        <v>888.35</v>
      </c>
      <c r="H90" s="2" t="n">
        <v>756.3</v>
      </c>
      <c r="I90" s="2" t="n">
        <v>1134.25</v>
      </c>
      <c r="J90" s="2" t="n">
        <v>1401.3</v>
      </c>
      <c r="K90" s="2" t="n">
        <v>1218.8</v>
      </c>
    </row>
    <row r="92" s="2" customFormat="true" ht="14.4" hidden="false" customHeight="false" outlineLevel="0" collapsed="false">
      <c r="A92" s="2" t="s">
        <v>52</v>
      </c>
    </row>
    <row r="93" customFormat="false" ht="14.4" hidden="false" customHeight="false" outlineLevel="0" collapsed="false">
      <c r="A93" s="1" t="s">
        <v>53</v>
      </c>
      <c r="B93" s="1" t="n">
        <v>72.66</v>
      </c>
      <c r="C93" s="1" t="n">
        <v>72.66</v>
      </c>
      <c r="D93" s="1" t="n">
        <v>72.66</v>
      </c>
      <c r="E93" s="1" t="n">
        <v>72.66</v>
      </c>
      <c r="F93" s="1" t="n">
        <v>72.66</v>
      </c>
      <c r="G93" s="1" t="n">
        <v>72.66</v>
      </c>
      <c r="H93" s="1" t="n">
        <v>72.74</v>
      </c>
      <c r="I93" s="1" t="n">
        <v>72.74</v>
      </c>
      <c r="J93" s="1" t="n">
        <v>72.74</v>
      </c>
      <c r="K93" s="1" t="n">
        <v>72.74</v>
      </c>
    </row>
  </sheetData>
  <mergeCells count="2">
    <mergeCell ref="E1:K1"/>
    <mergeCell ref="E2:K2"/>
  </mergeCells>
  <conditionalFormatting sqref="E1:K1">
    <cfRule type="cellIs" priority="2" operator="notEqual" aboveAverage="0" equalAverage="0" bottom="0" percent="0" rank="0" text="" dxfId="0">
      <formula>""</formula>
    </cfRule>
  </conditionalFormatting>
  <hyperlinks>
    <hyperlink ref="E1" r:id="rId1" display="https://www.screener.in/excel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C2:T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875" defaultRowHeight="14.4" zeroHeight="false" outlineLevelRow="0" outlineLevelCol="0"/>
  <cols>
    <col collapsed="false" customWidth="true" hidden="false" outlineLevel="0" max="3" min="3" style="0" width="23.66"/>
    <col collapsed="false" customWidth="true" hidden="false" outlineLevel="0" max="6" min="4" style="0" width="5.66"/>
  </cols>
  <sheetData>
    <row r="2" customFormat="false" ht="14.4" hidden="false" customHeight="false" outlineLevel="0" collapsed="false">
      <c r="C2" s="0" t="s">
        <v>54</v>
      </c>
    </row>
    <row r="3" customFormat="false" ht="14.4" hidden="false" customHeight="true" outlineLevel="0" collapsed="false"/>
    <row r="4" customFormat="false" ht="14.4" hidden="false" customHeight="true" outlineLevel="0" collapsed="false">
      <c r="C4" s="0" t="s">
        <v>55</v>
      </c>
      <c r="D4" s="0" t="n">
        <v>1</v>
      </c>
      <c r="H4" s="8"/>
      <c r="I4" s="8"/>
      <c r="J4" s="8"/>
      <c r="K4" s="8"/>
    </row>
    <row r="5" customFormat="false" ht="14.4" hidden="false" customHeight="true" outlineLevel="0" collapsed="false"/>
    <row r="6" customFormat="false" ht="14.4" hidden="false" customHeight="true" outlineLevel="0" collapsed="false"/>
    <row r="7" customFormat="false" ht="14.4" hidden="false" customHeight="true" outlineLevel="0" collapsed="false">
      <c r="I7" s="9"/>
    </row>
    <row r="8" customFormat="false" ht="14.4" hidden="false" customHeight="false" outlineLevel="0" collapsed="false">
      <c r="C8" s="0" t="s">
        <v>56</v>
      </c>
      <c r="H8" s="10" t="n">
        <v>2027</v>
      </c>
      <c r="I8" s="10" t="n">
        <f aca="false">H8+1</f>
        <v>2028</v>
      </c>
      <c r="J8" s="10" t="n">
        <f aca="false">I8+1</f>
        <v>2029</v>
      </c>
      <c r="K8" s="10" t="n">
        <f aca="false">J8+1</f>
        <v>2030</v>
      </c>
    </row>
    <row r="10" customFormat="false" ht="14.4" hidden="false" customHeight="false" outlineLevel="0" collapsed="false">
      <c r="C10" s="11" t="s">
        <v>57</v>
      </c>
      <c r="D10" s="12"/>
      <c r="E10" s="12"/>
      <c r="F10" s="12"/>
      <c r="G10" s="12"/>
      <c r="H10" s="13" t="n">
        <f aca="false">CHOOSE($D$4,H12,H13,H14)</f>
        <v>0.09</v>
      </c>
      <c r="I10" s="13" t="n">
        <f aca="false">CHOOSE($D$4,I12,I13,I14)</f>
        <v>0.08</v>
      </c>
      <c r="J10" s="13" t="n">
        <f aca="false">CHOOSE($D$4,J12,J13,J14)</f>
        <v>0.07</v>
      </c>
      <c r="K10" s="14" t="n">
        <f aca="false">CHOOSE($D$4,K12,K13,K14)</f>
        <v>0.07</v>
      </c>
      <c r="Q10" s="15"/>
      <c r="R10" s="15"/>
      <c r="S10" s="15"/>
      <c r="T10" s="15"/>
    </row>
    <row r="11" customFormat="false" ht="14.4" hidden="false" customHeight="false" outlineLevel="0" collapsed="false">
      <c r="C11" s="16"/>
      <c r="D11" s="16"/>
      <c r="E11" s="16"/>
      <c r="F11" s="16"/>
      <c r="G11" s="16"/>
      <c r="H11" s="16"/>
      <c r="I11" s="16"/>
      <c r="J11" s="16"/>
      <c r="K11" s="16"/>
    </row>
    <row r="12" customFormat="false" ht="14.4" hidden="false" customHeight="false" outlineLevel="0" collapsed="false">
      <c r="C12" s="17" t="s">
        <v>58</v>
      </c>
      <c r="D12" s="18"/>
      <c r="E12" s="18"/>
      <c r="F12" s="18"/>
      <c r="G12" s="18"/>
      <c r="H12" s="19" t="n">
        <v>0.09</v>
      </c>
      <c r="I12" s="19" t="n">
        <v>0.08</v>
      </c>
      <c r="J12" s="19" t="n">
        <v>0.07</v>
      </c>
      <c r="K12" s="20" t="n">
        <v>0.07</v>
      </c>
      <c r="Q12" s="15"/>
      <c r="R12" s="15"/>
      <c r="S12" s="15"/>
      <c r="T12" s="15"/>
    </row>
    <row r="13" customFormat="false" ht="14.4" hidden="false" customHeight="false" outlineLevel="0" collapsed="false">
      <c r="C13" s="21" t="s">
        <v>59</v>
      </c>
      <c r="H13" s="22" t="n">
        <v>0.11</v>
      </c>
      <c r="I13" s="22" t="n">
        <v>0.1</v>
      </c>
      <c r="J13" s="22" t="n">
        <v>0.09</v>
      </c>
      <c r="K13" s="23" t="n">
        <v>0.08</v>
      </c>
    </row>
    <row r="14" customFormat="false" ht="14.4" hidden="false" customHeight="false" outlineLevel="0" collapsed="false">
      <c r="C14" s="24" t="s">
        <v>60</v>
      </c>
      <c r="D14" s="25"/>
      <c r="E14" s="25"/>
      <c r="F14" s="25"/>
      <c r="G14" s="25"/>
      <c r="H14" s="26" t="n">
        <v>0.06</v>
      </c>
      <c r="I14" s="26" t="n">
        <v>0.06</v>
      </c>
      <c r="J14" s="26" t="n">
        <v>0.05</v>
      </c>
      <c r="K14" s="27" t="n">
        <v>0.05</v>
      </c>
    </row>
    <row r="17" customFormat="false" ht="14.4" hidden="false" customHeight="false" outlineLevel="0" collapsed="false">
      <c r="C17" s="0" t="s">
        <v>61</v>
      </c>
      <c r="H17" s="10" t="n">
        <v>2027</v>
      </c>
      <c r="I17" s="10" t="n">
        <f aca="false">H17+1</f>
        <v>2028</v>
      </c>
      <c r="J17" s="10" t="n">
        <f aca="false">I17+1</f>
        <v>2029</v>
      </c>
      <c r="K17" s="10" t="n">
        <f aca="false">J17+1</f>
        <v>2030</v>
      </c>
    </row>
    <row r="19" customFormat="false" ht="14.4" hidden="false" customHeight="false" outlineLevel="0" collapsed="false">
      <c r="C19" s="11" t="s">
        <v>62</v>
      </c>
      <c r="D19" s="12"/>
      <c r="E19" s="12"/>
      <c r="F19" s="12"/>
      <c r="G19" s="12"/>
      <c r="H19" s="13" t="n">
        <f aca="false">CHOOSE($D$4,H21,H22,H23)</f>
        <v>0.455</v>
      </c>
      <c r="I19" s="13" t="n">
        <f aca="false">CHOOSE($D$4,I21,I22,I23)</f>
        <v>0.46</v>
      </c>
      <c r="J19" s="13" t="n">
        <f aca="false">CHOOSE($D$4,J21,J22,J23)</f>
        <v>0.465</v>
      </c>
      <c r="K19" s="14" t="n">
        <f aca="false">CHOOSE($D$4,K21,K22,K23)</f>
        <v>0.47</v>
      </c>
    </row>
    <row r="21" customFormat="false" ht="14.4" hidden="false" customHeight="false" outlineLevel="0" collapsed="false">
      <c r="C21" s="17" t="s">
        <v>58</v>
      </c>
      <c r="D21" s="18"/>
      <c r="E21" s="18"/>
      <c r="F21" s="18"/>
      <c r="G21" s="18"/>
      <c r="H21" s="19" t="n">
        <v>0.455</v>
      </c>
      <c r="I21" s="19" t="n">
        <v>0.46</v>
      </c>
      <c r="J21" s="19" t="n">
        <v>0.465</v>
      </c>
      <c r="K21" s="20" t="n">
        <v>0.47</v>
      </c>
    </row>
    <row r="22" customFormat="false" ht="14.4" hidden="false" customHeight="false" outlineLevel="0" collapsed="false">
      <c r="C22" s="21" t="s">
        <v>59</v>
      </c>
      <c r="H22" s="22" t="n">
        <v>0.467205870699263</v>
      </c>
      <c r="I22" s="22" t="n">
        <v>0.481561474737693</v>
      </c>
      <c r="J22" s="22" t="n">
        <v>0.495917078776124</v>
      </c>
      <c r="K22" s="23" t="n">
        <v>0.510272682814554</v>
      </c>
    </row>
    <row r="23" customFormat="false" ht="14.4" hidden="false" customHeight="false" outlineLevel="0" collapsed="false">
      <c r="C23" s="24" t="s">
        <v>60</v>
      </c>
      <c r="D23" s="25"/>
      <c r="E23" s="25"/>
      <c r="F23" s="25"/>
      <c r="G23" s="25"/>
      <c r="H23" s="26" t="n">
        <v>0.435</v>
      </c>
      <c r="I23" s="26" t="n">
        <v>0.435</v>
      </c>
      <c r="J23" s="26" t="n">
        <v>0.44</v>
      </c>
      <c r="K23" s="27" t="n">
        <v>0.44</v>
      </c>
    </row>
    <row r="27" customFormat="false" ht="14.4" hidden="false" customHeight="false" outlineLevel="0" collapsed="false">
      <c r="C27" s="17"/>
      <c r="D27" s="18"/>
      <c r="E27" s="18"/>
      <c r="F27" s="18"/>
      <c r="G27" s="18"/>
      <c r="H27" s="19"/>
      <c r="I27" s="19"/>
      <c r="J27" s="19"/>
      <c r="K27" s="19"/>
    </row>
    <row r="28" customFormat="false" ht="14.4" hidden="false" customHeight="false" outlineLevel="0" collapsed="false">
      <c r="C28" s="21"/>
      <c r="H28" s="22"/>
      <c r="I28" s="22"/>
      <c r="J28" s="22"/>
      <c r="K28" s="23"/>
    </row>
    <row r="29" customFormat="false" ht="14.4" hidden="false" customHeight="false" outlineLevel="0" collapsed="false">
      <c r="C29" s="24"/>
      <c r="D29" s="25"/>
      <c r="E29" s="25"/>
      <c r="F29" s="25"/>
      <c r="G29" s="25"/>
      <c r="H29" s="26"/>
      <c r="I29" s="26"/>
      <c r="J29" s="26"/>
      <c r="K29" s="2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I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875" defaultRowHeight="14.4" zeroHeight="false" outlineLevelRow="0" outlineLevelCol="0"/>
  <cols>
    <col collapsed="false" customWidth="true" hidden="false" outlineLevel="0" max="2" min="2" style="0" width="17.21"/>
    <col collapsed="false" customWidth="true" hidden="false" outlineLevel="0" max="9" min="9" style="0" width="14.22"/>
  </cols>
  <sheetData>
    <row r="2" customFormat="false" ht="14.4" hidden="false" customHeight="false" outlineLevel="0" collapsed="false">
      <c r="B2" s="0" t="s">
        <v>63</v>
      </c>
    </row>
    <row r="4" customFormat="false" ht="14.4" hidden="false" customHeight="false" outlineLevel="0" collapsed="false">
      <c r="B4" s="8" t="s">
        <v>64</v>
      </c>
      <c r="E4" s="28" t="n">
        <v>2027</v>
      </c>
      <c r="F4" s="28" t="n">
        <f aca="false">E4+1</f>
        <v>2028</v>
      </c>
      <c r="G4" s="28" t="n">
        <f aca="false">F4+1</f>
        <v>2029</v>
      </c>
      <c r="H4" s="28" t="n">
        <f aca="false">G4+1</f>
        <v>2030</v>
      </c>
    </row>
    <row r="6" customFormat="false" ht="14.4" hidden="false" customHeight="false" outlineLevel="0" collapsed="false">
      <c r="B6" s="0" t="s">
        <v>65</v>
      </c>
    </row>
    <row r="7" customFormat="false" ht="14.4" hidden="false" customHeight="true" outlineLevel="0" collapsed="false">
      <c r="B7" s="0" t="s">
        <v>66</v>
      </c>
      <c r="E7" s="29" t="n">
        <v>0.0625455495450591</v>
      </c>
      <c r="F7" s="29" t="n">
        <v>0.0625455495450591</v>
      </c>
      <c r="G7" s="29" t="n">
        <v>0.0625455495450591</v>
      </c>
      <c r="H7" s="29" t="n">
        <v>0.0625455495450591</v>
      </c>
      <c r="I7" s="0" t="s">
        <v>67</v>
      </c>
    </row>
    <row r="8" customFormat="false" ht="14.4" hidden="false" customHeight="false" outlineLevel="0" collapsed="false">
      <c r="B8" s="0" t="s">
        <v>68</v>
      </c>
      <c r="E8" s="29" t="n">
        <v>0.205</v>
      </c>
      <c r="F8" s="29" t="n">
        <v>0.205</v>
      </c>
      <c r="G8" s="29" t="n">
        <v>0.205</v>
      </c>
      <c r="H8" s="29" t="n">
        <v>0.205</v>
      </c>
      <c r="I8" s="0" t="s">
        <v>67</v>
      </c>
    </row>
    <row r="9" customFormat="false" ht="14.4" hidden="false" customHeight="false" outlineLevel="0" collapsed="false">
      <c r="B9" s="0" t="s">
        <v>69</v>
      </c>
      <c r="E9" s="22" t="n">
        <v>0.065</v>
      </c>
      <c r="F9" s="22" t="n">
        <v>0.065</v>
      </c>
      <c r="G9" s="22" t="n">
        <v>0.065</v>
      </c>
      <c r="H9" s="22" t="n">
        <v>0.065</v>
      </c>
      <c r="I9" s="0" t="s">
        <v>70</v>
      </c>
    </row>
    <row r="10" customFormat="false" ht="14.4" hidden="false" customHeight="false" outlineLevel="0" collapsed="false">
      <c r="B10" s="0" t="s">
        <v>71</v>
      </c>
      <c r="E10" s="22" t="n">
        <v>0.25</v>
      </c>
      <c r="F10" s="22" t="n">
        <v>0.25</v>
      </c>
      <c r="G10" s="22" t="n">
        <v>0.25</v>
      </c>
      <c r="H10" s="22" t="n">
        <v>0.25</v>
      </c>
    </row>
    <row r="11" customFormat="false" ht="14.4" hidden="false" customHeight="false" outlineLevel="0" collapsed="false">
      <c r="B11" s="0" t="s">
        <v>72</v>
      </c>
      <c r="E11" s="22" t="n">
        <v>0.67</v>
      </c>
      <c r="F11" s="22" t="n">
        <v>0.67</v>
      </c>
      <c r="G11" s="22" t="n">
        <v>0.67</v>
      </c>
      <c r="H11" s="22" t="n">
        <v>0.67</v>
      </c>
      <c r="I11" s="0" t="s">
        <v>73</v>
      </c>
    </row>
    <row r="12" customFormat="false" ht="14.4" hidden="false" customHeight="false" outlineLevel="0" collapsed="false">
      <c r="B12" s="30" t="s">
        <v>74</v>
      </c>
      <c r="E12" s="31" t="n">
        <v>0.015</v>
      </c>
      <c r="F12" s="31" t="n">
        <v>0.015</v>
      </c>
      <c r="G12" s="31" t="n">
        <v>0.015</v>
      </c>
      <c r="H12" s="31" t="n">
        <v>0.015</v>
      </c>
      <c r="I12" s="0" t="s">
        <v>75</v>
      </c>
    </row>
    <row r="13" customFormat="false" ht="14.4" hidden="false" customHeight="false" outlineLevel="0" collapsed="false">
      <c r="B13" s="30" t="s">
        <v>76</v>
      </c>
      <c r="E13" s="31" t="n">
        <v>0.014</v>
      </c>
      <c r="F13" s="31" t="n">
        <v>0.014</v>
      </c>
      <c r="G13" s="31" t="n">
        <v>0.014</v>
      </c>
      <c r="H13" s="31" t="n">
        <v>0.014</v>
      </c>
      <c r="I13" s="0" t="s">
        <v>77</v>
      </c>
    </row>
    <row r="14" customFormat="false" ht="14.4" hidden="false" customHeight="false" outlineLevel="0" collapsed="false">
      <c r="B14" s="30" t="s">
        <v>78</v>
      </c>
      <c r="E14" s="31" t="n">
        <v>0.04</v>
      </c>
      <c r="F14" s="31" t="n">
        <v>0.04</v>
      </c>
      <c r="G14" s="31" t="n">
        <v>0.04</v>
      </c>
      <c r="H14" s="31" t="n">
        <v>0.04</v>
      </c>
      <c r="I14" s="0" t="s">
        <v>75</v>
      </c>
    </row>
    <row r="15" customFormat="false" ht="14.4" hidden="false" customHeight="false" outlineLevel="0" collapsed="false">
      <c r="B15" s="32" t="s">
        <v>79</v>
      </c>
      <c r="E15" s="29" t="n">
        <v>0.022</v>
      </c>
      <c r="F15" s="29" t="n">
        <v>0.022</v>
      </c>
      <c r="G15" s="29" t="n">
        <v>0.022</v>
      </c>
      <c r="H15" s="29" t="n">
        <v>0.022</v>
      </c>
      <c r="I15" s="0" t="s">
        <v>77</v>
      </c>
    </row>
    <row r="16" customFormat="false" ht="14.4" hidden="false" customHeight="false" outlineLevel="0" collapsed="false">
      <c r="B16" s="32" t="s">
        <v>80</v>
      </c>
      <c r="E16" s="29" t="n">
        <v>0.3</v>
      </c>
      <c r="F16" s="29" t="n">
        <v>0.3</v>
      </c>
      <c r="G16" s="29" t="n">
        <v>0.3</v>
      </c>
      <c r="H16" s="29" t="n">
        <v>0.3</v>
      </c>
    </row>
    <row r="17" customFormat="false" ht="14.4" hidden="false" customHeight="false" outlineLevel="0" collapsed="false">
      <c r="B17" s="0" t="s">
        <v>81</v>
      </c>
      <c r="E17" s="33" t="n">
        <v>16</v>
      </c>
      <c r="F17" s="33" t="n">
        <v>16</v>
      </c>
      <c r="G17" s="33" t="n">
        <v>16</v>
      </c>
      <c r="H17" s="33" t="n">
        <v>16</v>
      </c>
      <c r="I17" s="0" t="s">
        <v>82</v>
      </c>
    </row>
    <row r="18" customFormat="false" ht="14.4" hidden="false" customHeight="false" outlineLevel="0" collapsed="false">
      <c r="B18" s="0" t="s">
        <v>83</v>
      </c>
      <c r="E18" s="34" t="n">
        <v>0.07</v>
      </c>
      <c r="F18" s="34" t="n">
        <v>0.07</v>
      </c>
      <c r="G18" s="34" t="n">
        <v>0.07</v>
      </c>
      <c r="H18" s="34" t="n">
        <v>0.07</v>
      </c>
      <c r="I18" s="0" t="s">
        <v>84</v>
      </c>
    </row>
    <row r="19" customFormat="false" ht="14.4" hidden="false" customHeight="false" outlineLevel="0" collapsed="false">
      <c r="B19" s="0" t="s">
        <v>85</v>
      </c>
      <c r="E19" s="15" t="n">
        <v>0.085</v>
      </c>
      <c r="F19" s="15" t="n">
        <v>0.085</v>
      </c>
      <c r="G19" s="15" t="n">
        <v>0.085</v>
      </c>
      <c r="H19" s="15" t="n">
        <v>0.085</v>
      </c>
      <c r="I19" s="0" t="s">
        <v>86</v>
      </c>
    </row>
    <row r="20" customFormat="false" ht="14.4" hidden="false" customHeight="false" outlineLevel="0" collapsed="false">
      <c r="B20" s="0" t="s">
        <v>87</v>
      </c>
      <c r="E20" s="34" t="n">
        <v>0</v>
      </c>
      <c r="F20" s="34" t="n">
        <v>0</v>
      </c>
      <c r="G20" s="34" t="n">
        <v>0</v>
      </c>
      <c r="H20" s="34" t="n">
        <v>0</v>
      </c>
    </row>
    <row r="21" customFormat="false" ht="14.4" hidden="false" customHeight="false" outlineLevel="0" collapsed="false">
      <c r="B21" s="0" t="s">
        <v>88</v>
      </c>
      <c r="E21" s="0" t="n">
        <v>55</v>
      </c>
      <c r="F21" s="0" t="n">
        <v>55</v>
      </c>
      <c r="G21" s="0" t="n">
        <v>55</v>
      </c>
      <c r="H21" s="0" t="n">
        <v>55</v>
      </c>
      <c r="I21" s="0" t="s">
        <v>75</v>
      </c>
    </row>
    <row r="22" customFormat="false" ht="14.4" hidden="false" customHeight="false" outlineLevel="0" collapsed="false">
      <c r="B22" s="0" t="s">
        <v>89</v>
      </c>
      <c r="E22" s="0" t="n">
        <v>111</v>
      </c>
      <c r="F22" s="0" t="n">
        <v>111</v>
      </c>
      <c r="G22" s="0" t="n">
        <v>111</v>
      </c>
      <c r="H22" s="0" t="n">
        <v>111</v>
      </c>
      <c r="I22" s="0" t="s">
        <v>90</v>
      </c>
    </row>
    <row r="23" customFormat="false" ht="14.4" hidden="false" customHeight="false" outlineLevel="0" collapsed="false">
      <c r="B23" s="0" t="s">
        <v>91</v>
      </c>
      <c r="E23" s="15" t="n">
        <v>0.044</v>
      </c>
      <c r="F23" s="15" t="n">
        <v>0.044</v>
      </c>
      <c r="G23" s="15" t="n">
        <v>0.044</v>
      </c>
      <c r="H23" s="15" t="n">
        <v>0.044</v>
      </c>
      <c r="I23" s="0" t="s">
        <v>92</v>
      </c>
    </row>
    <row r="24" customFormat="false" ht="14.4" hidden="false" customHeight="false" outlineLevel="0" collapsed="false">
      <c r="B24" s="0" t="s">
        <v>93</v>
      </c>
      <c r="E24" s="34" t="n">
        <v>0.16</v>
      </c>
      <c r="F24" s="34" t="n">
        <v>0.16</v>
      </c>
      <c r="G24" s="34" t="n">
        <v>0.16</v>
      </c>
      <c r="H24" s="34" t="n">
        <v>0.16</v>
      </c>
      <c r="I24" s="0" t="s">
        <v>94</v>
      </c>
    </row>
    <row r="25" customFormat="false" ht="14.4" hidden="false" customHeight="false" outlineLevel="0" collapsed="false">
      <c r="B25" s="0" t="s">
        <v>95</v>
      </c>
      <c r="E25" s="0" t="n">
        <v>97</v>
      </c>
      <c r="F25" s="0" t="n">
        <v>97</v>
      </c>
      <c r="G25" s="0" t="n">
        <v>97</v>
      </c>
      <c r="H25" s="0" t="n">
        <v>97</v>
      </c>
      <c r="I25" s="0" t="s">
        <v>96</v>
      </c>
    </row>
    <row r="26" customFormat="false" ht="14.4" hidden="false" customHeight="false" outlineLevel="0" collapsed="false">
      <c r="B26" s="0" t="s">
        <v>97</v>
      </c>
      <c r="E26" s="0" t="n">
        <v>135</v>
      </c>
      <c r="F26" s="0" t="n">
        <v>135</v>
      </c>
      <c r="G26" s="0" t="n">
        <v>135</v>
      </c>
      <c r="H26" s="0" t="n">
        <v>135</v>
      </c>
      <c r="I26" s="0" t="s">
        <v>96</v>
      </c>
    </row>
    <row r="27" customFormat="false" ht="14.4" hidden="false" customHeight="false" outlineLevel="0" collapsed="false">
      <c r="B27" s="0" t="s">
        <v>98</v>
      </c>
      <c r="E27" s="15" t="n">
        <v>0.055</v>
      </c>
      <c r="F27" s="15" t="n">
        <v>0.055</v>
      </c>
      <c r="G27" s="15" t="n">
        <v>0.055</v>
      </c>
      <c r="H27" s="15" t="n">
        <v>0.055</v>
      </c>
      <c r="I27" s="0" t="s">
        <v>96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S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875" defaultRowHeight="14.4" zeroHeight="false" outlineLevelRow="0" outlineLevelCol="0"/>
  <cols>
    <col collapsed="false" customWidth="true" hidden="false" outlineLevel="0" max="1" min="1" style="0" width="2.77"/>
    <col collapsed="false" customWidth="true" hidden="false" outlineLevel="0" max="2" min="2" style="0" width="50.78"/>
    <col collapsed="false" customWidth="true" hidden="false" outlineLevel="0" max="16" min="3" style="35" width="10.77"/>
  </cols>
  <sheetData>
    <row r="1" customFormat="false" ht="14.4" hidden="false" customHeight="false" outlineLevel="0" collapsed="false">
      <c r="A1" s="16"/>
    </row>
    <row r="2" customFormat="false" ht="14.4" hidden="false" customHeight="false" outlineLevel="0" collapsed="false">
      <c r="B2" s="8" t="s">
        <v>99</v>
      </c>
    </row>
    <row r="4" customFormat="false" ht="14.4" hidden="false" customHeight="false" outlineLevel="0" collapsed="false">
      <c r="B4" s="8" t="s">
        <v>64</v>
      </c>
      <c r="C4" s="36" t="n">
        <v>2017</v>
      </c>
      <c r="D4" s="36" t="n">
        <f aca="false">C4+1</f>
        <v>2018</v>
      </c>
      <c r="E4" s="36" t="n">
        <f aca="false">D4+1</f>
        <v>2019</v>
      </c>
      <c r="F4" s="36" t="n">
        <f aca="false">E4+1</f>
        <v>2020</v>
      </c>
      <c r="G4" s="36" t="n">
        <f aca="false">F4+1</f>
        <v>2021</v>
      </c>
      <c r="H4" s="36" t="n">
        <f aca="false">G4+1</f>
        <v>2022</v>
      </c>
      <c r="I4" s="36" t="n">
        <f aca="false">H4+1</f>
        <v>2023</v>
      </c>
      <c r="J4" s="36" t="n">
        <f aca="false">I4+1</f>
        <v>2024</v>
      </c>
      <c r="K4" s="36" t="n">
        <f aca="false">J4+1</f>
        <v>2025</v>
      </c>
      <c r="L4" s="36" t="n">
        <f aca="false">K4+1</f>
        <v>2026</v>
      </c>
      <c r="M4" s="37" t="n">
        <f aca="false">L4+1</f>
        <v>2027</v>
      </c>
      <c r="N4" s="37" t="n">
        <f aca="false">M4+1</f>
        <v>2028</v>
      </c>
      <c r="O4" s="37" t="n">
        <f aca="false">N4+1</f>
        <v>2029</v>
      </c>
      <c r="P4" s="37" t="n">
        <f aca="false">O4+1</f>
        <v>2030</v>
      </c>
    </row>
    <row r="6" customFormat="false" ht="14.4" hidden="false" customHeight="false" outlineLevel="0" collapsed="false">
      <c r="B6" s="0" t="s">
        <v>100</v>
      </c>
      <c r="C6" s="38" t="n">
        <f aca="false">PL!C5</f>
        <v>8817.5</v>
      </c>
      <c r="D6" s="38" t="n">
        <f aca="false">PL!D5</f>
        <v>8590.6</v>
      </c>
      <c r="E6" s="38" t="n">
        <f aca="false">PL!E5</f>
        <v>9340.8</v>
      </c>
      <c r="F6" s="38" t="n">
        <f aca="false">PL!F5</f>
        <v>9325.4</v>
      </c>
      <c r="G6" s="38" t="n">
        <f aca="false">PL!G5</f>
        <v>8131.3</v>
      </c>
      <c r="H6" s="38" t="n">
        <f aca="false">PL!H5</f>
        <v>9712.4</v>
      </c>
      <c r="I6" s="38" t="n">
        <f aca="false">PL!I5</f>
        <v>10612</v>
      </c>
      <c r="J6" s="38" t="n">
        <f aca="false">PL!J5</f>
        <v>11321</v>
      </c>
      <c r="K6" s="38" t="n">
        <f aca="false">PL!K5</f>
        <v>12069</v>
      </c>
      <c r="L6" s="38" t="n">
        <f aca="false">PL!L5</f>
        <v>12467</v>
      </c>
      <c r="M6" s="38" t="n">
        <f aca="false">PL!M5</f>
        <v>13589.03</v>
      </c>
      <c r="N6" s="38" t="n">
        <f aca="false">PL!N5</f>
        <v>14676.1524</v>
      </c>
      <c r="O6" s="38" t="n">
        <f aca="false">PL!O5</f>
        <v>15703.483068</v>
      </c>
      <c r="P6" s="38" t="n">
        <f aca="false">PL!P5</f>
        <v>16802.72688276</v>
      </c>
    </row>
    <row r="7" customFormat="false" ht="14.4" hidden="false" customHeight="false" outlineLevel="0" collapsed="false">
      <c r="B7" s="0" t="s">
        <v>101</v>
      </c>
      <c r="C7" s="38" t="n">
        <f aca="false">-PL!C6</f>
        <v>5151.3</v>
      </c>
      <c r="D7" s="38" t="n">
        <f aca="false">-PL!D6</f>
        <v>4557.3</v>
      </c>
      <c r="E7" s="38" t="n">
        <f aca="false">-PL!E6</f>
        <v>4966.4</v>
      </c>
      <c r="F7" s="38" t="n">
        <f aca="false">-PL!F6</f>
        <v>5370</v>
      </c>
      <c r="G7" s="38" t="n">
        <f aca="false">-PL!G6</f>
        <v>4807.5</v>
      </c>
      <c r="H7" s="38" t="n">
        <f aca="false">-PL!H6</f>
        <v>5680.9</v>
      </c>
      <c r="I7" s="38" t="n">
        <f aca="false">-PL!I6</f>
        <v>6503</v>
      </c>
      <c r="J7" s="38" t="n">
        <f aca="false">-PL!J6</f>
        <v>6542</v>
      </c>
      <c r="K7" s="38" t="n">
        <f aca="false">-PL!K6</f>
        <v>6860</v>
      </c>
      <c r="L7" s="38" t="n">
        <f aca="false">-PL!L6</f>
        <v>6674</v>
      </c>
      <c r="M7" s="38" t="n">
        <f aca="false">-PL!M6</f>
        <v>7406.02135</v>
      </c>
      <c r="N7" s="38" t="n">
        <f aca="false">-PL!N6</f>
        <v>7925.122296</v>
      </c>
      <c r="O7" s="38" t="n">
        <f aca="false">-PL!O6</f>
        <v>8401.36344138</v>
      </c>
      <c r="P7" s="38" t="n">
        <f aca="false">-PL!P6</f>
        <v>8905.4452478628</v>
      </c>
    </row>
    <row r="8" customFormat="false" ht="14.4" hidden="false" customHeight="false" outlineLevel="0" collapsed="false"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</row>
    <row r="9" customFormat="false" ht="14.4" hidden="false" customHeight="false" outlineLevel="0" collapsed="false">
      <c r="B9" s="0" t="s">
        <v>102</v>
      </c>
      <c r="C9" s="38" t="n">
        <f aca="false">BS!C42</f>
        <v>2953.4</v>
      </c>
      <c r="D9" s="38" t="n">
        <f aca="false">BS!D42</f>
        <v>2711.2</v>
      </c>
      <c r="E9" s="38" t="n">
        <f aca="false">BS!E42</f>
        <v>2542.5</v>
      </c>
      <c r="F9" s="38" t="n">
        <f aca="false">BS!F42</f>
        <v>2283.5</v>
      </c>
      <c r="G9" s="38" t="n">
        <f aca="false">BS!G42</f>
        <v>2187.2</v>
      </c>
      <c r="H9" s="38" t="n">
        <f aca="false">BS!H42</f>
        <v>2373.6</v>
      </c>
      <c r="I9" s="38" t="n">
        <f aca="false">BS!I42</f>
        <v>2434</v>
      </c>
      <c r="J9" s="38" t="n">
        <f aca="false">BS!J42</f>
        <v>3056</v>
      </c>
      <c r="K9" s="38" t="n">
        <f aca="false">BS!K42</f>
        <v>3410</v>
      </c>
      <c r="L9" s="38" t="n">
        <f aca="false">BS!L42</f>
        <v>3609</v>
      </c>
      <c r="M9" s="35" t="n">
        <f aca="false">(2*(M6*Assumptions!E25)/365)-L9</f>
        <v>3613.66252054795</v>
      </c>
      <c r="N9" s="35" t="n">
        <f aca="false">(2*(N6*Assumptions!F25)/365)-M9</f>
        <v>4186.81300164384</v>
      </c>
      <c r="O9" s="35" t="n">
        <f aca="false">(2*(O6*Assumptions!G25)/365)-N9</f>
        <v>4159.69580710137</v>
      </c>
      <c r="P9" s="35" t="n">
        <f aca="false">(2*(P6*Assumptions!H25)/365)-O9</f>
        <v>4771.068618256</v>
      </c>
    </row>
    <row r="10" customFormat="false" ht="14.4" hidden="false" customHeight="false" outlineLevel="0" collapsed="false">
      <c r="B10" s="0" t="s">
        <v>103</v>
      </c>
      <c r="D10" s="35" t="n">
        <f aca="false">AVERAGE(C9:D9)/D6*365</f>
        <v>120.33961539357</v>
      </c>
      <c r="E10" s="35" t="n">
        <f aca="false">AVERAGE(D9:E9)/E6*365</f>
        <v>102.646481029462</v>
      </c>
      <c r="F10" s="35" t="n">
        <f aca="false">AVERAGE(E9:F9)/F6*365</f>
        <v>94.4458146567439</v>
      </c>
      <c r="G10" s="35" t="n">
        <f aca="false">AVERAGE(F9:G9)/G6*365</f>
        <v>100.34099713453</v>
      </c>
      <c r="H10" s="35" t="n">
        <f aca="false">AVERAGE(G9:H9)/H6*365</f>
        <v>85.6993122194308</v>
      </c>
      <c r="I10" s="35" t="n">
        <f aca="false">AVERAGE(H9:I9)/I6*365</f>
        <v>82.6787598944591</v>
      </c>
      <c r="J10" s="35" t="n">
        <f aca="false">AVERAGE(I9:J9)/J6*365</f>
        <v>88.5014574684215</v>
      </c>
      <c r="K10" s="35" t="n">
        <f aca="false">AVERAGE(J9:K9)/K6*365</f>
        <v>97.7748777860635</v>
      </c>
      <c r="L10" s="35" t="n">
        <f aca="false">AVERAGE(K9:L9)/L6*365</f>
        <v>102.748656453036</v>
      </c>
      <c r="M10" s="35" t="n">
        <f aca="false">AVERAGE(L9:M9)/M6*365</f>
        <v>97</v>
      </c>
      <c r="N10" s="35" t="n">
        <f aca="false">AVERAGE(M9:N9)/N6*365</f>
        <v>97</v>
      </c>
      <c r="O10" s="35" t="n">
        <f aca="false">AVERAGE(N9:O9)/O6*365</f>
        <v>97</v>
      </c>
      <c r="P10" s="35" t="n">
        <f aca="false">AVERAGE(O9:P9)/P6*365</f>
        <v>97</v>
      </c>
    </row>
    <row r="12" customFormat="false" ht="14.4" hidden="false" customHeight="false" outlineLevel="0" collapsed="false">
      <c r="B12" s="0" t="s">
        <v>41</v>
      </c>
      <c r="C12" s="38" t="n">
        <f aca="false">BS!C43</f>
        <v>1927.6</v>
      </c>
      <c r="D12" s="38" t="n">
        <f aca="false">BS!D43</f>
        <v>1919.7</v>
      </c>
      <c r="E12" s="38" t="n">
        <f aca="false">BS!E43</f>
        <v>1934.3</v>
      </c>
      <c r="F12" s="38" t="n">
        <f aca="false">BS!F43</f>
        <v>1927.5</v>
      </c>
      <c r="G12" s="38" t="n">
        <f aca="false">BS!G43</f>
        <v>2051.9</v>
      </c>
      <c r="H12" s="38" t="n">
        <f aca="false">BS!H43</f>
        <v>2156.7</v>
      </c>
      <c r="I12" s="38" t="n">
        <f aca="false">BS!I43</f>
        <v>2230</v>
      </c>
      <c r="J12" s="38" t="n">
        <f aca="false">BS!J43</f>
        <v>2063</v>
      </c>
      <c r="K12" s="38" t="n">
        <f aca="false">BS!K43</f>
        <v>2305</v>
      </c>
      <c r="L12" s="38" t="n">
        <f aca="false">BS!L43</f>
        <v>2668</v>
      </c>
      <c r="M12" s="35" t="n">
        <f aca="false">(2*(M7*Assumptions!E26)/365)-L12</f>
        <v>2810.42675205479</v>
      </c>
      <c r="N12" s="35" t="n">
        <f aca="false">(2*(N7*Assumptions!F26)/365)-M12</f>
        <v>3051.99248060274</v>
      </c>
      <c r="O12" s="35" t="n">
        <f aca="false">(2*(O7*Assumptions!G26)/365)-N12</f>
        <v>3162.71472260986</v>
      </c>
      <c r="P12" s="35" t="n">
        <f aca="false">(2*(P7*Assumptions!H26)/365)-O12</f>
        <v>3424.8749127955</v>
      </c>
    </row>
    <row r="13" customFormat="false" ht="14.4" hidden="false" customHeight="false" outlineLevel="0" collapsed="false">
      <c r="B13" s="0" t="s">
        <v>97</v>
      </c>
      <c r="D13" s="35" t="n">
        <f aca="false">AVERAGE(C12:D12)/D7*365</f>
        <v>154.067594847827</v>
      </c>
      <c r="E13" s="35" t="n">
        <f aca="false">AVERAGE(D12:E12)/E7*365</f>
        <v>141.622704574742</v>
      </c>
      <c r="F13" s="35" t="n">
        <f aca="false">AVERAGE(E12:F12)/F7*365</f>
        <v>131.243668528864</v>
      </c>
      <c r="G13" s="35" t="n">
        <f aca="false">AVERAGE(F12:G12)/G7*365</f>
        <v>151.064066562663</v>
      </c>
      <c r="H13" s="35" t="n">
        <f aca="false">AVERAGE(G12:H12)/H7*365</f>
        <v>135.202080656234</v>
      </c>
      <c r="I13" s="35" t="n">
        <f aca="false">AVERAGE(H12:I12)/I7*365</f>
        <v>123.108219283408</v>
      </c>
      <c r="J13" s="35" t="n">
        <f aca="false">AVERAGE(I12:J12)/J7*365</f>
        <v>119.760394374809</v>
      </c>
      <c r="K13" s="35" t="n">
        <f aca="false">AVERAGE(J12:K12)/K7*365</f>
        <v>116.204081632653</v>
      </c>
      <c r="L13" s="35" t="n">
        <f aca="false">AVERAGE(K12:L12)/L7*365</f>
        <v>135.986290080911</v>
      </c>
      <c r="M13" s="35" t="n">
        <f aca="false">AVERAGE(L12:M12)/M7*365</f>
        <v>135</v>
      </c>
      <c r="N13" s="35" t="n">
        <f aca="false">AVERAGE(M12:N12)/N7*365</f>
        <v>135</v>
      </c>
      <c r="O13" s="35" t="n">
        <f aca="false">AVERAGE(N12:O12)/O7*365</f>
        <v>135</v>
      </c>
      <c r="P13" s="35" t="n">
        <f aca="false">AVERAGE(O12:P12)/P7*365</f>
        <v>135</v>
      </c>
    </row>
    <row r="15" customFormat="false" ht="14.4" hidden="false" customHeight="false" outlineLevel="0" collapsed="false">
      <c r="B15" s="0" t="s">
        <v>89</v>
      </c>
      <c r="C15" s="38" t="n">
        <f aca="false">BS!C21</f>
        <v>1224.7</v>
      </c>
      <c r="D15" s="38" t="n">
        <f aca="false">BS!D21</f>
        <v>1455.1</v>
      </c>
      <c r="E15" s="38" t="n">
        <f aca="false">BS!E21</f>
        <v>1408.3</v>
      </c>
      <c r="F15" s="38" t="n">
        <f aca="false">BS!F21</f>
        <v>1199.4</v>
      </c>
      <c r="G15" s="38" t="n">
        <f aca="false">BS!G21</f>
        <v>1417.2</v>
      </c>
      <c r="H15" s="38" t="n">
        <f aca="false">BS!H21</f>
        <v>1582.1</v>
      </c>
      <c r="I15" s="38" t="n">
        <f aca="false">BS!I21</f>
        <v>1782.5</v>
      </c>
      <c r="J15" s="38" t="n">
        <f aca="false">BS!J21</f>
        <v>1954</v>
      </c>
      <c r="K15" s="38" t="n">
        <f aca="false">BS!K21</f>
        <v>2239</v>
      </c>
      <c r="L15" s="38" t="n">
        <f aca="false">BS!L21</f>
        <v>2383</v>
      </c>
      <c r="M15" s="35" t="n">
        <f aca="false">(2*(M7*Assumptions!E22)/365)-L15</f>
        <v>2121.48421835616</v>
      </c>
      <c r="N15" s="35" t="n">
        <f aca="false">(2*(N7*Assumptions!F22)/365)-M15</f>
        <v>2698.72715071781</v>
      </c>
      <c r="O15" s="35" t="n">
        <f aca="false">(2*(O7*Assumptions!G22)/365)-N15</f>
        <v>2411.14321636811</v>
      </c>
      <c r="P15" s="35" t="n">
        <f aca="false">(2*(P7*Assumptions!H22)/365)-O15</f>
        <v>3005.31937274297</v>
      </c>
    </row>
    <row r="16" customFormat="false" ht="14.4" hidden="false" customHeight="false" outlineLevel="0" collapsed="false">
      <c r="B16" s="0" t="s">
        <v>104</v>
      </c>
      <c r="D16" s="35" t="n">
        <f aca="false">AVERAGE(C15:D15)/D7*365</f>
        <v>107.314308910978</v>
      </c>
      <c r="E16" s="35" t="n">
        <f aca="false">AVERAGE(D15:E15)/E7*365</f>
        <v>105.221186372423</v>
      </c>
      <c r="F16" s="35" t="n">
        <f aca="false">AVERAGE(E15:F15)/F7*365</f>
        <v>88.6229515828678</v>
      </c>
      <c r="G16" s="35" t="n">
        <f aca="false">AVERAGE(F15:G15)/G7*365</f>
        <v>99.3301092043682</v>
      </c>
      <c r="H16" s="35" t="n">
        <f aca="false">AVERAGE(G15:H15)/H7*365</f>
        <v>96.3530866588041</v>
      </c>
      <c r="I16" s="35" t="n">
        <f aca="false">AVERAGE(H15:I15)/I7*365</f>
        <v>94.4240350607412</v>
      </c>
      <c r="J16" s="35" t="n">
        <f aca="false">AVERAGE(I15:J15)/J7*365</f>
        <v>104.235898807704</v>
      </c>
      <c r="K16" s="35" t="n">
        <f aca="false">AVERAGE(J15:K15)/K7*365</f>
        <v>111.548469387755</v>
      </c>
      <c r="L16" s="35" t="n">
        <f aca="false">AVERAGE(K15:L15)/L7*365</f>
        <v>126.38822295475</v>
      </c>
      <c r="M16" s="35" t="n">
        <f aca="false">AVERAGE(L15:M15)/M7*365</f>
        <v>111</v>
      </c>
      <c r="N16" s="35" t="n">
        <f aca="false">AVERAGE(M15:N15)/N7*365</f>
        <v>111</v>
      </c>
      <c r="O16" s="35" t="n">
        <f aca="false">AVERAGE(N15:O15)/O7*365</f>
        <v>111</v>
      </c>
      <c r="P16" s="35" t="n">
        <f aca="false">AVERAGE(O15:P15)/P7*365</f>
        <v>111</v>
      </c>
    </row>
    <row r="18" customFormat="false" ht="14.4" hidden="false" customHeight="false" outlineLevel="0" collapsed="false">
      <c r="B18" s="0" t="s">
        <v>105</v>
      </c>
      <c r="C18" s="35" t="n">
        <f aca="false">BS!C42+BS!C43+BS!C44</f>
        <v>5661.8</v>
      </c>
      <c r="D18" s="35" t="n">
        <f aca="false">BS!D42+BS!D43+BS!D44</f>
        <v>5480.1</v>
      </c>
      <c r="E18" s="35" t="n">
        <f aca="false">BS!E42+BS!E43+BS!E44</f>
        <v>4980.9</v>
      </c>
      <c r="F18" s="35" t="n">
        <f aca="false">BS!F42+BS!F43+BS!F44</f>
        <v>4796.8</v>
      </c>
      <c r="G18" s="35" t="n">
        <f aca="false">BS!G42+BS!G43+BS!G44</f>
        <v>4719.1</v>
      </c>
      <c r="H18" s="35" t="n">
        <f aca="false">BS!H42+BS!H43+BS!H44</f>
        <v>4881</v>
      </c>
      <c r="I18" s="35" t="n">
        <f aca="false">BS!I42+BS!I43+BS!I44</f>
        <v>5095.5</v>
      </c>
      <c r="J18" s="35" t="n">
        <f aca="false">BS!J42+BS!J43+BS!J44</f>
        <v>5509</v>
      </c>
      <c r="K18" s="35" t="n">
        <f aca="false">BS!K42+BS!K43+BS!K44</f>
        <v>6299</v>
      </c>
      <c r="L18" s="35" t="n">
        <f aca="false">BS!L42+BS!L43+BS!L44</f>
        <v>7429</v>
      </c>
      <c r="M18" s="35" t="n">
        <f aca="false">BS!M42+BS!M43+BS!M44</f>
        <v>7639.44927260274</v>
      </c>
      <c r="N18" s="35" t="n">
        <f aca="false">BS!N42+BS!N43+BS!N44</f>
        <v>8521.01028224658</v>
      </c>
      <c r="O18" s="35" t="n">
        <f aca="false">BS!O42+BS!O43+BS!O44</f>
        <v>8675.13659371123</v>
      </c>
      <c r="P18" s="35" t="n">
        <f aca="false">BS!P42+BS!P43+BS!P44</f>
        <v>9623.0695285715</v>
      </c>
    </row>
    <row r="19" customFormat="false" ht="14.4" hidden="false" customHeight="false" outlineLevel="0" collapsed="false">
      <c r="B19" s="0" t="s">
        <v>106</v>
      </c>
      <c r="C19" s="38" t="n">
        <f aca="false">BS!C25</f>
        <v>6227.1</v>
      </c>
      <c r="D19" s="38" t="n">
        <f aca="false">BS!D25</f>
        <v>5767.4</v>
      </c>
      <c r="E19" s="38" t="n">
        <f aca="false">BS!E25</f>
        <v>5214.3</v>
      </c>
      <c r="F19" s="38" t="n">
        <f aca="false">BS!F25</f>
        <v>4904.5</v>
      </c>
      <c r="G19" s="38" t="n">
        <f aca="false">BS!G25</f>
        <v>4231.1</v>
      </c>
      <c r="H19" s="38" t="n">
        <f aca="false">BS!H25</f>
        <v>3644.5</v>
      </c>
      <c r="I19" s="38" t="n">
        <f aca="false">BS!I25</f>
        <v>3534.2</v>
      </c>
      <c r="J19" s="38" t="n">
        <f aca="false">BS!J25</f>
        <v>3814.6</v>
      </c>
      <c r="K19" s="38" t="n">
        <f aca="false">BS!K25</f>
        <v>4592</v>
      </c>
      <c r="L19" s="38" t="n">
        <f aca="false">BS!L25</f>
        <v>5091</v>
      </c>
      <c r="M19" s="38" t="n">
        <f aca="false">BS!M25</f>
        <v>4899.64633835616</v>
      </c>
      <c r="N19" s="38" t="n">
        <f aca="false">BS!N25</f>
        <v>5698.66224031781</v>
      </c>
      <c r="O19" s="38" t="n">
        <f aca="false">BS!O25</f>
        <v>5620.65376224011</v>
      </c>
      <c r="P19" s="38" t="n">
        <f aca="false">BS!P25</f>
        <v>6439.07565682601</v>
      </c>
      <c r="S19" s="35"/>
    </row>
    <row r="20" customFormat="false" ht="14.4" hidden="false" customHeight="false" outlineLevel="0" collapsed="false">
      <c r="B20" s="8" t="s">
        <v>107</v>
      </c>
      <c r="C20" s="39" t="n">
        <f aca="false">C18-C19</f>
        <v>-565.300000000001</v>
      </c>
      <c r="D20" s="39" t="n">
        <f aca="false">D18-D19</f>
        <v>-287.299999999999</v>
      </c>
      <c r="E20" s="39" t="n">
        <f aca="false">E18-E19</f>
        <v>-233.400000000001</v>
      </c>
      <c r="F20" s="39" t="n">
        <f aca="false">F18-F19</f>
        <v>-107.7</v>
      </c>
      <c r="G20" s="39" t="n">
        <f aca="false">G18-G19</f>
        <v>488.000000000001</v>
      </c>
      <c r="H20" s="39" t="n">
        <f aca="false">H18-H19</f>
        <v>1236.5</v>
      </c>
      <c r="I20" s="39" t="n">
        <f aca="false">I18-I19</f>
        <v>1561.3</v>
      </c>
      <c r="J20" s="39" t="n">
        <f aca="false">J18-J19</f>
        <v>1694.4</v>
      </c>
      <c r="K20" s="39" t="n">
        <f aca="false">K18-K19</f>
        <v>1707</v>
      </c>
      <c r="L20" s="39" t="n">
        <f aca="false">L18-L19</f>
        <v>2338</v>
      </c>
      <c r="M20" s="39" t="n">
        <f aca="false">M18-M19</f>
        <v>2739.80293424658</v>
      </c>
      <c r="N20" s="39" t="n">
        <f aca="false">N18-N19</f>
        <v>2822.34804192877</v>
      </c>
      <c r="O20" s="39" t="n">
        <f aca="false">O18-O19</f>
        <v>3054.48283147112</v>
      </c>
      <c r="P20" s="39" t="n">
        <f aca="false">P18-P19</f>
        <v>3183.99387174549</v>
      </c>
    </row>
    <row r="21" customFormat="false" ht="14.4" hidden="false" customHeight="false" outlineLevel="0" collapsed="false">
      <c r="B21" s="8" t="s">
        <v>108</v>
      </c>
      <c r="C21" s="39"/>
      <c r="D21" s="39" t="n">
        <f aca="false">D20-C20</f>
        <v>278.000000000002</v>
      </c>
      <c r="E21" s="39" t="n">
        <f aca="false">E20-D20</f>
        <v>53.8999999999978</v>
      </c>
      <c r="F21" s="39" t="n">
        <f aca="false">F20-E20</f>
        <v>125.700000000002</v>
      </c>
      <c r="G21" s="39" t="n">
        <f aca="false">G20-F20</f>
        <v>595.700000000001</v>
      </c>
      <c r="H21" s="39" t="n">
        <f aca="false">H20-G20</f>
        <v>748.499999999999</v>
      </c>
      <c r="I21" s="39" t="n">
        <f aca="false">I20-H20</f>
        <v>324.8</v>
      </c>
      <c r="J21" s="39" t="n">
        <f aca="false">J20-I20</f>
        <v>133.1</v>
      </c>
      <c r="K21" s="39" t="n">
        <f aca="false">K20-J20</f>
        <v>12.5999999999999</v>
      </c>
      <c r="L21" s="39" t="n">
        <f aca="false">L20-K20</f>
        <v>631</v>
      </c>
      <c r="M21" s="39" t="n">
        <f aca="false">M20-L20</f>
        <v>401.802934246575</v>
      </c>
      <c r="N21" s="39" t="n">
        <f aca="false">N20-M20</f>
        <v>82.5451076821928</v>
      </c>
      <c r="O21" s="39" t="n">
        <f aca="false">O20-N20</f>
        <v>232.134789542355</v>
      </c>
      <c r="P21" s="39" t="n">
        <f aca="false">P20-O20</f>
        <v>129.511040274369</v>
      </c>
    </row>
    <row r="23" customFormat="false" ht="14.4" hidden="false" customHeight="false" outlineLevel="0" collapsed="false">
      <c r="B23" s="8"/>
      <c r="L23" s="35" t="n">
        <f aca="false">L9+L12-L15</f>
        <v>3894</v>
      </c>
      <c r="M23" s="35" t="n">
        <f aca="false">M9+M12-M15</f>
        <v>4302.60505424658</v>
      </c>
      <c r="N23" s="35" t="n">
        <f aca="false">N9+N12-N15</f>
        <v>4540.07833152877</v>
      </c>
      <c r="O23" s="35" t="n">
        <f aca="false">O9+O12-O15</f>
        <v>4911.26731334312</v>
      </c>
      <c r="P23" s="35" t="n">
        <f aca="false">P9+P12-P15</f>
        <v>5190.62415830853</v>
      </c>
    </row>
    <row r="24" customFormat="false" ht="14.4" hidden="false" customHeight="false" outlineLevel="0" collapsed="false">
      <c r="M24" s="35" t="n">
        <f aca="false">M23-L23</f>
        <v>408.605054246576</v>
      </c>
      <c r="N24" s="35" t="n">
        <f aca="false">N23-M23</f>
        <v>237.473277282193</v>
      </c>
      <c r="O24" s="35" t="n">
        <f aca="false">O23-N23</f>
        <v>371.188981814355</v>
      </c>
      <c r="P24" s="35" t="n">
        <f aca="false">P23-O23</f>
        <v>279.35684496541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875" defaultRowHeight="14.4" zeroHeight="false" outlineLevelRow="0" outlineLevelCol="0"/>
  <cols>
    <col collapsed="false" customWidth="true" hidden="false" outlineLevel="0" max="1" min="1" style="0" width="2.77"/>
    <col collapsed="false" customWidth="true" hidden="false" outlineLevel="0" max="2" min="2" style="0" width="50.78"/>
    <col collapsed="false" customWidth="true" hidden="false" outlineLevel="0" max="16" min="3" style="0" width="10.77"/>
  </cols>
  <sheetData>
    <row r="1" customFormat="false" ht="14.4" hidden="false" customHeight="false" outlineLevel="0" collapsed="false">
      <c r="B1" s="16"/>
    </row>
    <row r="2" customFormat="false" ht="14.4" hidden="false" customHeight="false" outlineLevel="0" collapsed="false">
      <c r="A2" s="0" t="s">
        <v>109</v>
      </c>
      <c r="B2" s="40" t="s">
        <v>110</v>
      </c>
      <c r="C2" s="41" t="n">
        <v>2017</v>
      </c>
      <c r="D2" s="41" t="n">
        <f aca="false">C2+1</f>
        <v>2018</v>
      </c>
      <c r="E2" s="41" t="n">
        <f aca="false">D2+1</f>
        <v>2019</v>
      </c>
      <c r="F2" s="41" t="n">
        <f aca="false">E2+1</f>
        <v>2020</v>
      </c>
      <c r="G2" s="41" t="n">
        <f aca="false">F2+1</f>
        <v>2021</v>
      </c>
      <c r="H2" s="41" t="n">
        <f aca="false">G2+1</f>
        <v>2022</v>
      </c>
      <c r="I2" s="41" t="n">
        <f aca="false">H2+1</f>
        <v>2023</v>
      </c>
      <c r="J2" s="41" t="n">
        <f aca="false">I2+1</f>
        <v>2024</v>
      </c>
      <c r="K2" s="41" t="n">
        <f aca="false">J2+1</f>
        <v>2025</v>
      </c>
      <c r="L2" s="41" t="n">
        <f aca="false">K2+1</f>
        <v>2026</v>
      </c>
      <c r="M2" s="42" t="n">
        <f aca="false">L2+1</f>
        <v>2027</v>
      </c>
      <c r="N2" s="42" t="n">
        <f aca="false">M2+1</f>
        <v>2028</v>
      </c>
      <c r="O2" s="42" t="n">
        <f aca="false">N2+1</f>
        <v>2029</v>
      </c>
      <c r="P2" s="42" t="n">
        <f aca="false">O2+1</f>
        <v>2030</v>
      </c>
    </row>
    <row r="3" customFormat="false" ht="14.4" hidden="false" customHeight="false" outlineLevel="0" collapsed="false">
      <c r="B3" s="43" t="s">
        <v>111</v>
      </c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</row>
    <row r="5" s="8" customFormat="true" ht="18" hidden="false" customHeight="true" outlineLevel="0" collapsed="false">
      <c r="A5" s="8" t="s">
        <v>109</v>
      </c>
      <c r="B5" s="8" t="s">
        <v>12</v>
      </c>
      <c r="C5" s="45" t="n">
        <v>8817.5</v>
      </c>
      <c r="D5" s="45" t="n">
        <v>8590.6</v>
      </c>
      <c r="E5" s="45" t="n">
        <v>9340.8</v>
      </c>
      <c r="F5" s="45" t="n">
        <v>9325.4</v>
      </c>
      <c r="G5" s="45" t="n">
        <v>8131.3</v>
      </c>
      <c r="H5" s="45" t="n">
        <v>9712.4</v>
      </c>
      <c r="I5" s="45" t="n">
        <v>10612</v>
      </c>
      <c r="J5" s="45" t="n">
        <v>11321</v>
      </c>
      <c r="K5" s="45" t="n">
        <v>12069</v>
      </c>
      <c r="L5" s="45" t="n">
        <v>12467</v>
      </c>
      <c r="M5" s="39" t="n">
        <f aca="false">L5*(1+Scenarios!H10)</f>
        <v>13589.03</v>
      </c>
      <c r="N5" s="39" t="n">
        <f aca="false">M5*(1+Scenarios!I10)</f>
        <v>14676.1524</v>
      </c>
      <c r="O5" s="39" t="n">
        <f aca="false">N5*(1+Scenarios!J10)</f>
        <v>15703.483068</v>
      </c>
      <c r="P5" s="39" t="n">
        <f aca="false">O5*(1+Scenarios!K10)</f>
        <v>16802.72688276</v>
      </c>
    </row>
    <row r="6" s="8" customFormat="true" ht="18" hidden="false" customHeight="true" outlineLevel="0" collapsed="false">
      <c r="A6" s="8" t="s">
        <v>109</v>
      </c>
      <c r="B6" s="46" t="s">
        <v>112</v>
      </c>
      <c r="C6" s="39" t="n">
        <v>-5151.3</v>
      </c>
      <c r="D6" s="39" t="n">
        <v>-4557.3</v>
      </c>
      <c r="E6" s="39" t="n">
        <v>-4966.4</v>
      </c>
      <c r="F6" s="39" t="n">
        <v>-5370</v>
      </c>
      <c r="G6" s="39" t="n">
        <v>-4807.5</v>
      </c>
      <c r="H6" s="39" t="n">
        <v>-5680.9</v>
      </c>
      <c r="I6" s="39" t="n">
        <v>-6503</v>
      </c>
      <c r="J6" s="39" t="n">
        <v>-6542</v>
      </c>
      <c r="K6" s="39" t="n">
        <v>-6860</v>
      </c>
      <c r="L6" s="39" t="n">
        <v>-6674</v>
      </c>
      <c r="M6" s="39" t="n">
        <f aca="false">-M5*(1-Scenarios!H19)</f>
        <v>-7406.02135</v>
      </c>
      <c r="N6" s="39" t="n">
        <f aca="false">-N5*(1-Scenarios!I19)</f>
        <v>-7925.122296</v>
      </c>
      <c r="O6" s="39" t="n">
        <f aca="false">-O5*(1-Scenarios!J19)</f>
        <v>-8401.36344138</v>
      </c>
      <c r="P6" s="39" t="n">
        <f aca="false">-P5*(1-Scenarios!K19)</f>
        <v>-8905.4452478628</v>
      </c>
    </row>
    <row r="7" s="8" customFormat="true" ht="4.95" hidden="false" customHeight="true" outlineLevel="0" collapsed="false">
      <c r="B7" s="46"/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</row>
    <row r="8" customFormat="false" ht="18" hidden="false" customHeight="true" outlineLevel="0" collapsed="false">
      <c r="B8" s="47" t="s">
        <v>113</v>
      </c>
      <c r="C8" s="48" t="n">
        <f aca="false">C5+C6</f>
        <v>3666.2</v>
      </c>
      <c r="D8" s="48" t="n">
        <f aca="false">D5+D6</f>
        <v>4033.3</v>
      </c>
      <c r="E8" s="48" t="n">
        <f aca="false">E5+E6</f>
        <v>4374.4</v>
      </c>
      <c r="F8" s="48" t="n">
        <f aca="false">F5+F6</f>
        <v>3955.4</v>
      </c>
      <c r="G8" s="48" t="n">
        <f aca="false">G5+G6</f>
        <v>3323.8</v>
      </c>
      <c r="H8" s="48" t="n">
        <f aca="false">H5+H6</f>
        <v>4031.5</v>
      </c>
      <c r="I8" s="48" t="n">
        <f aca="false">I5+I6</f>
        <v>4109</v>
      </c>
      <c r="J8" s="48" t="n">
        <f aca="false">J5+J6</f>
        <v>4779</v>
      </c>
      <c r="K8" s="48" t="n">
        <f aca="false">K5+K6</f>
        <v>5209</v>
      </c>
      <c r="L8" s="48" t="n">
        <f aca="false">L5+L6</f>
        <v>5793</v>
      </c>
      <c r="M8" s="48" t="n">
        <f aca="false">M5+M6</f>
        <v>6183.00865</v>
      </c>
      <c r="N8" s="48" t="n">
        <f aca="false">N5+N6</f>
        <v>6751.030104</v>
      </c>
      <c r="O8" s="48" t="n">
        <f aca="false">O5+O6</f>
        <v>7302.11962662</v>
      </c>
      <c r="P8" s="48" t="n">
        <f aca="false">P5+P6</f>
        <v>7897.2816348972</v>
      </c>
      <c r="V8" s="49"/>
    </row>
    <row r="9" customFormat="false" ht="18" hidden="false" customHeight="true" outlineLevel="0" collapsed="false">
      <c r="B9" s="0" t="s">
        <v>114</v>
      </c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R9" s="50"/>
      <c r="V9" s="49"/>
    </row>
    <row r="10" customFormat="false" ht="18" hidden="false" customHeight="true" outlineLevel="0" collapsed="false">
      <c r="B10" s="51" t="s">
        <v>17</v>
      </c>
      <c r="C10" s="52" t="n">
        <v>-688.9</v>
      </c>
      <c r="D10" s="52" t="n">
        <v>-681.2</v>
      </c>
      <c r="E10" s="52" t="n">
        <v>-690.2</v>
      </c>
      <c r="F10" s="52" t="n">
        <v>-530.4</v>
      </c>
      <c r="G10" s="52" t="n">
        <v>-557</v>
      </c>
      <c r="H10" s="52" t="n">
        <v>-653.9</v>
      </c>
      <c r="I10" s="52" t="n">
        <v>-613</v>
      </c>
      <c r="J10" s="52" t="n">
        <v>-549</v>
      </c>
      <c r="K10" s="52" t="n">
        <v>-614</v>
      </c>
      <c r="L10" s="52" t="n">
        <v>-635</v>
      </c>
      <c r="M10" s="35" t="n">
        <f aca="false">-M5*Assumptions!E7</f>
        <v>-849.933349134295</v>
      </c>
      <c r="N10" s="35" t="n">
        <f aca="false">-N5*Assumptions!F7</f>
        <v>-917.928017065039</v>
      </c>
      <c r="O10" s="35" t="n">
        <f aca="false">-O5*Assumptions!G7</f>
        <v>-982.182978259591</v>
      </c>
      <c r="P10" s="35" t="n">
        <f aca="false">-P5*Assumptions!H7</f>
        <v>-1050.93578673776</v>
      </c>
      <c r="V10" s="49"/>
    </row>
    <row r="11" customFormat="false" ht="18" hidden="false" customHeight="true" outlineLevel="0" collapsed="false">
      <c r="B11" s="51" t="s">
        <v>18</v>
      </c>
      <c r="C11" s="52" t="n">
        <v>-1985.9</v>
      </c>
      <c r="D11" s="52" t="n">
        <v>-2142.9</v>
      </c>
      <c r="E11" s="52" t="n">
        <v>-2290.4</v>
      </c>
      <c r="F11" s="52" t="n">
        <v>-1854</v>
      </c>
      <c r="G11" s="52" t="n">
        <v>-1715.4</v>
      </c>
      <c r="H11" s="52" t="n">
        <v>-1782.4</v>
      </c>
      <c r="I11" s="52" t="n">
        <v>-2079</v>
      </c>
      <c r="J11" s="52" t="n">
        <v>-2230</v>
      </c>
      <c r="K11" s="52" t="n">
        <v>-2359</v>
      </c>
      <c r="L11" s="52" t="n">
        <v>-2879</v>
      </c>
      <c r="M11" s="35" t="n">
        <f aca="false">-M5*Assumptions!E8</f>
        <v>-2785.75115</v>
      </c>
      <c r="N11" s="35" t="n">
        <f aca="false">-N5*Assumptions!F8</f>
        <v>-3008.611242</v>
      </c>
      <c r="O11" s="35" t="n">
        <f aca="false">-O5*Assumptions!G8</f>
        <v>-3219.21402894</v>
      </c>
      <c r="P11" s="35" t="n">
        <f aca="false">-P5*Assumptions!H8</f>
        <v>-3444.5590109658</v>
      </c>
      <c r="V11" s="49"/>
    </row>
    <row r="12" customFormat="false" ht="4.95" hidden="false" customHeight="true" outlineLevel="0" collapsed="false">
      <c r="B12" s="51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5"/>
      <c r="N12" s="35"/>
      <c r="O12" s="35"/>
      <c r="P12" s="35"/>
      <c r="V12" s="49"/>
    </row>
    <row r="13" customFormat="false" ht="18" hidden="false" customHeight="true" outlineLevel="0" collapsed="false">
      <c r="B13" s="10" t="s">
        <v>115</v>
      </c>
      <c r="C13" s="53" t="n">
        <f aca="false">SUM(C10:C11)</f>
        <v>-2674.8</v>
      </c>
      <c r="D13" s="53" t="n">
        <f aca="false">SUM(D10:D11)</f>
        <v>-2824.1</v>
      </c>
      <c r="E13" s="53" t="n">
        <f aca="false">SUM(E10:E11)</f>
        <v>-2980.6</v>
      </c>
      <c r="F13" s="53" t="n">
        <f aca="false">SUM(F10:F11)</f>
        <v>-2384.4</v>
      </c>
      <c r="G13" s="53" t="n">
        <f aca="false">SUM(G10:G11)</f>
        <v>-2272.4</v>
      </c>
      <c r="H13" s="53" t="n">
        <f aca="false">SUM(H10:H11)</f>
        <v>-2436.3</v>
      </c>
      <c r="I13" s="53" t="n">
        <f aca="false">SUM(I10:I11)</f>
        <v>-2692</v>
      </c>
      <c r="J13" s="53" t="n">
        <f aca="false">SUM(J10:J11)</f>
        <v>-2779</v>
      </c>
      <c r="K13" s="53" t="n">
        <f aca="false">SUM(K10:K11)</f>
        <v>-2973</v>
      </c>
      <c r="L13" s="53" t="n">
        <f aca="false">SUM(L10:L11)</f>
        <v>-3514</v>
      </c>
      <c r="M13" s="48" t="n">
        <f aca="false">SUM(M10:M11)</f>
        <v>-3635.6844991343</v>
      </c>
      <c r="N13" s="48" t="n">
        <f aca="false">SUM(N10:N11)</f>
        <v>-3926.53925906504</v>
      </c>
      <c r="O13" s="48" t="n">
        <f aca="false">SUM(O10:O11)</f>
        <v>-4201.39700719959</v>
      </c>
      <c r="P13" s="48" t="n">
        <f aca="false">SUM(P10:P11)</f>
        <v>-4495.49479770356</v>
      </c>
      <c r="W13" s="50"/>
    </row>
    <row r="14" customFormat="false" ht="4.95" hidden="false" customHeight="true" outlineLevel="0" collapsed="false">
      <c r="B14" s="8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39"/>
      <c r="N14" s="39"/>
      <c r="O14" s="39"/>
      <c r="P14" s="39"/>
      <c r="W14" s="50"/>
    </row>
    <row r="15" customFormat="false" ht="18" hidden="false" customHeight="true" outlineLevel="0" collapsed="false">
      <c r="A15" s="0" t="s">
        <v>109</v>
      </c>
      <c r="B15" s="10" t="s">
        <v>116</v>
      </c>
      <c r="C15" s="48" t="n">
        <f aca="false">C8+C13</f>
        <v>991.4</v>
      </c>
      <c r="D15" s="48" t="n">
        <f aca="false">D8+D13</f>
        <v>1209.2</v>
      </c>
      <c r="E15" s="48" t="n">
        <f aca="false">E8+E13</f>
        <v>1393.8</v>
      </c>
      <c r="F15" s="48" t="n">
        <f aca="false">F8+F13</f>
        <v>1571</v>
      </c>
      <c r="G15" s="48" t="n">
        <f aca="false">G8+G13</f>
        <v>1051.4</v>
      </c>
      <c r="H15" s="48" t="n">
        <f aca="false">H8+H13</f>
        <v>1595.2</v>
      </c>
      <c r="I15" s="48" t="n">
        <f aca="false">I8+I13</f>
        <v>1417</v>
      </c>
      <c r="J15" s="48" t="n">
        <f aca="false">J8+J13</f>
        <v>2000</v>
      </c>
      <c r="K15" s="48" t="n">
        <f aca="false">K8+K13</f>
        <v>2236</v>
      </c>
      <c r="L15" s="48" t="n">
        <f aca="false">L8+L13</f>
        <v>2279</v>
      </c>
      <c r="M15" s="48" t="n">
        <f aca="false">M8+M13</f>
        <v>2547.32415086571</v>
      </c>
      <c r="N15" s="48" t="n">
        <f aca="false">N8+N13</f>
        <v>2824.49084493496</v>
      </c>
      <c r="O15" s="48" t="n">
        <f aca="false">O8+O13</f>
        <v>3100.72261942041</v>
      </c>
      <c r="P15" s="48" t="n">
        <f aca="false">P8+P13</f>
        <v>3401.78683719364</v>
      </c>
      <c r="Q15" s="55"/>
    </row>
    <row r="16" customFormat="false" ht="18" hidden="false" customHeight="true" outlineLevel="0" collapsed="false">
      <c r="B16" s="0" t="s">
        <v>117</v>
      </c>
      <c r="C16" s="52" t="n">
        <v>-188.6</v>
      </c>
      <c r="D16" s="52" t="n">
        <v>-192.3</v>
      </c>
      <c r="E16" s="52" t="n">
        <v>-214.7</v>
      </c>
      <c r="F16" s="52" t="n">
        <v>-285.3</v>
      </c>
      <c r="G16" s="52" t="n">
        <v>-299.1</v>
      </c>
      <c r="H16" s="52" t="n">
        <v>-303.8</v>
      </c>
      <c r="I16" s="52" t="n">
        <v>-283</v>
      </c>
      <c r="J16" s="52" t="n">
        <v>-275</v>
      </c>
      <c r="K16" s="52" t="n">
        <v>-283</v>
      </c>
      <c r="L16" s="52" t="n">
        <v>-289</v>
      </c>
      <c r="M16" s="38" t="n">
        <f aca="false">'Working Schedules'!H70</f>
        <v>-196.162907142857</v>
      </c>
      <c r="N16" s="38" t="n">
        <f aca="false">'Working Schedules'!I70</f>
        <v>-239.188903142857</v>
      </c>
      <c r="O16" s="38" t="n">
        <f aca="false">'Working Schedules'!J70</f>
        <v>-285.099543857143</v>
      </c>
      <c r="P16" s="38" t="n">
        <f aca="false">'Working Schedules'!K70</f>
        <v>-334.043901714286</v>
      </c>
    </row>
    <row r="17" customFormat="false" ht="4.95" hidden="false" customHeight="true" outlineLevel="0" collapsed="false"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5"/>
      <c r="N17" s="35"/>
      <c r="O17" s="35"/>
      <c r="P17" s="35"/>
    </row>
    <row r="18" customFormat="false" ht="18" hidden="false" customHeight="true" outlineLevel="0" collapsed="false">
      <c r="A18" s="0" t="s">
        <v>109</v>
      </c>
      <c r="B18" s="10" t="s">
        <v>118</v>
      </c>
      <c r="C18" s="48" t="n">
        <f aca="false">C15+C16</f>
        <v>802.8</v>
      </c>
      <c r="D18" s="48" t="n">
        <f aca="false">D15+D16</f>
        <v>1016.9</v>
      </c>
      <c r="E18" s="48" t="n">
        <f aca="false">E15+E16</f>
        <v>1179.1</v>
      </c>
      <c r="F18" s="48" t="n">
        <f aca="false">F15+F16</f>
        <v>1285.7</v>
      </c>
      <c r="G18" s="48" t="n">
        <f aca="false">G15+G16</f>
        <v>752.3</v>
      </c>
      <c r="H18" s="48" t="n">
        <f aca="false">H15+H16</f>
        <v>1291.4</v>
      </c>
      <c r="I18" s="48" t="n">
        <f aca="false">I15+I16</f>
        <v>1134</v>
      </c>
      <c r="J18" s="48" t="n">
        <f aca="false">J15+J16</f>
        <v>1725</v>
      </c>
      <c r="K18" s="48" t="n">
        <f aca="false">K15+K16</f>
        <v>1953</v>
      </c>
      <c r="L18" s="48" t="n">
        <f aca="false">L15+L16</f>
        <v>1990</v>
      </c>
      <c r="M18" s="48" t="n">
        <f aca="false">M15+M16</f>
        <v>2351.16124372285</v>
      </c>
      <c r="N18" s="48" t="n">
        <f aca="false">N15+N16</f>
        <v>2585.3019417921</v>
      </c>
      <c r="O18" s="48" t="n">
        <f aca="false">O15+O16</f>
        <v>2815.62307556327</v>
      </c>
      <c r="P18" s="48" t="n">
        <f aca="false">P15+P16</f>
        <v>3067.74293547935</v>
      </c>
    </row>
    <row r="19" customFormat="false" ht="18" hidden="false" customHeight="true" outlineLevel="0" collapsed="false">
      <c r="B19" s="0" t="s">
        <v>119</v>
      </c>
      <c r="C19" s="52" t="n">
        <v>105.3</v>
      </c>
      <c r="D19" s="52" t="n">
        <v>218.9</v>
      </c>
      <c r="E19" s="52" t="n">
        <v>69.2</v>
      </c>
      <c r="F19" s="52" t="n">
        <v>22</v>
      </c>
      <c r="G19" s="52" t="n">
        <v>39.6</v>
      </c>
      <c r="H19" s="52" t="n">
        <v>35.5</v>
      </c>
      <c r="I19" s="52" t="n">
        <v>73.1</v>
      </c>
      <c r="J19" s="52" t="n">
        <v>225</v>
      </c>
      <c r="K19" s="52" t="n">
        <v>336</v>
      </c>
      <c r="L19" s="52" t="n">
        <v>478</v>
      </c>
      <c r="M19" s="35" t="n">
        <v>0</v>
      </c>
      <c r="N19" s="35" t="n">
        <v>0</v>
      </c>
      <c r="O19" s="35" t="n">
        <v>0</v>
      </c>
      <c r="P19" s="35" t="n">
        <v>0</v>
      </c>
    </row>
    <row r="20" customFormat="false" ht="18" hidden="false" customHeight="true" outlineLevel="0" collapsed="false">
      <c r="B20" s="0" t="s">
        <v>120</v>
      </c>
      <c r="C20" s="52" t="n">
        <f aca="false">'P&amp;L'!C22</f>
        <v>-368.1</v>
      </c>
      <c r="D20" s="52" t="n">
        <v>-44.5</v>
      </c>
      <c r="E20" s="52" t="n">
        <v>2.6</v>
      </c>
      <c r="F20" s="52" t="n">
        <v>66.6</v>
      </c>
      <c r="G20" s="52" t="n">
        <v>-64.3</v>
      </c>
      <c r="H20" s="52" t="n">
        <v>-165.2</v>
      </c>
      <c r="I20" s="52" t="n">
        <v>176.4</v>
      </c>
      <c r="J20" s="52" t="n">
        <v>-17</v>
      </c>
      <c r="K20" s="52" t="n">
        <v>-65</v>
      </c>
      <c r="L20" s="52" t="n">
        <v>38</v>
      </c>
      <c r="M20" s="52" t="n">
        <v>0</v>
      </c>
      <c r="N20" s="52" t="n">
        <v>0</v>
      </c>
      <c r="O20" s="52" t="n">
        <v>0</v>
      </c>
      <c r="P20" s="52" t="n">
        <v>0</v>
      </c>
    </row>
    <row r="21" customFormat="false" ht="18" hidden="false" customHeight="true" outlineLevel="0" collapsed="false">
      <c r="B21" s="0" t="s">
        <v>121</v>
      </c>
      <c r="C21" s="52" t="n">
        <v>-375.1</v>
      </c>
      <c r="D21" s="52" t="n">
        <v>-277.5</v>
      </c>
      <c r="E21" s="52" t="n">
        <v>-237.2</v>
      </c>
      <c r="F21" s="52" t="n">
        <v>-212</v>
      </c>
      <c r="G21" s="52" t="n">
        <v>-187.6</v>
      </c>
      <c r="H21" s="52" t="n">
        <v>-88</v>
      </c>
      <c r="I21" s="52" t="n">
        <v>-104</v>
      </c>
      <c r="J21" s="52" t="n">
        <v>-76</v>
      </c>
      <c r="K21" s="52" t="n">
        <v>-89</v>
      </c>
      <c r="L21" s="52" t="n">
        <v>-158</v>
      </c>
      <c r="M21" s="38" t="n">
        <f aca="false">-'Working Schedules'!H33</f>
        <v>-92.212694</v>
      </c>
      <c r="N21" s="38" t="n">
        <f aca="false">-'Working Schedules'!I33</f>
        <v>-97.66082</v>
      </c>
      <c r="O21" s="38" t="n">
        <f aca="false">-'Working Schedules'!J33</f>
        <v>-103.66412384</v>
      </c>
      <c r="P21" s="38" t="n">
        <f aca="false">-'Working Schedules'!K33</f>
        <v>-110.0144390988</v>
      </c>
    </row>
    <row r="22" customFormat="false" ht="18" hidden="false" customHeight="true" outlineLevel="0" collapsed="false">
      <c r="B22" s="0" t="s">
        <v>122</v>
      </c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56" t="n">
        <f aca="false">BS!L45*Assumptions!E9</f>
        <v>203.71</v>
      </c>
      <c r="N22" s="56" t="n">
        <f aca="false">BS!M45*Assumptions!F9</f>
        <v>210.476627656925</v>
      </c>
      <c r="O22" s="56" t="n">
        <f aca="false">BS!N45*Assumptions!G9</f>
        <v>243.001479656129</v>
      </c>
      <c r="P22" s="56" t="n">
        <f aca="false">BS!O45*Assumptions!H9</f>
        <v>271.477737146406</v>
      </c>
    </row>
    <row r="23" customFormat="false" ht="4.95" hidden="false" customHeight="true" outlineLevel="0" collapsed="false"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5"/>
      <c r="N23" s="35"/>
      <c r="O23" s="35"/>
      <c r="P23" s="35"/>
    </row>
    <row r="24" customFormat="false" ht="18" hidden="false" customHeight="true" outlineLevel="0" collapsed="false">
      <c r="A24" s="0" t="s">
        <v>109</v>
      </c>
      <c r="B24" s="10" t="s">
        <v>123</v>
      </c>
      <c r="C24" s="57" t="n">
        <f aca="false">SUM(C18:C21)</f>
        <v>164.9</v>
      </c>
      <c r="D24" s="57" t="n">
        <f aca="false">SUM(D18:D21)</f>
        <v>913.8</v>
      </c>
      <c r="E24" s="57" t="n">
        <f aca="false">SUM(E18:E22)</f>
        <v>1013.7</v>
      </c>
      <c r="F24" s="57" t="n">
        <f aca="false">SUM(F18:F22)</f>
        <v>1162.3</v>
      </c>
      <c r="G24" s="57" t="n">
        <f aca="false">SUM(G18:G22)</f>
        <v>540</v>
      </c>
      <c r="H24" s="57" t="n">
        <f aca="false">SUM(H18:H22)</f>
        <v>1073.7</v>
      </c>
      <c r="I24" s="57" t="n">
        <f aca="false">SUM(I18:I22)</f>
        <v>1279.5</v>
      </c>
      <c r="J24" s="57" t="n">
        <f aca="false">SUM(J18:J22)</f>
        <v>1857</v>
      </c>
      <c r="K24" s="57" t="n">
        <f aca="false">SUM(K18:K22)</f>
        <v>2135</v>
      </c>
      <c r="L24" s="57" t="n">
        <f aca="false">SUM(L18:L22)</f>
        <v>2348</v>
      </c>
      <c r="M24" s="57" t="n">
        <f aca="false">SUM(M18:M22)</f>
        <v>2462.65854972285</v>
      </c>
      <c r="N24" s="57" t="n">
        <f aca="false">SUM(N18:N22)</f>
        <v>2698.11774944903</v>
      </c>
      <c r="O24" s="57" t="n">
        <f aca="false">SUM(O18:O22)</f>
        <v>2954.9604313794</v>
      </c>
      <c r="P24" s="57" t="n">
        <f aca="false">SUM(P18:P22)</f>
        <v>3229.20623352696</v>
      </c>
    </row>
    <row r="25" customFormat="false" ht="18" hidden="false" customHeight="true" outlineLevel="0" collapsed="false">
      <c r="B25" s="0" t="s">
        <v>24</v>
      </c>
      <c r="C25" s="52" t="n">
        <v>-69.7</v>
      </c>
      <c r="D25" s="52" t="n">
        <v>-259.9</v>
      </c>
      <c r="E25" s="52" t="n">
        <v>-328.1</v>
      </c>
      <c r="F25" s="52" t="n">
        <v>-539.7</v>
      </c>
      <c r="G25" s="52" t="n">
        <v>-177.9</v>
      </c>
      <c r="H25" s="52" t="n">
        <v>-276</v>
      </c>
      <c r="I25" s="52" t="n">
        <v>-153</v>
      </c>
      <c r="J25" s="52" t="n">
        <v>-449</v>
      </c>
      <c r="K25" s="52" t="n">
        <v>-553</v>
      </c>
      <c r="L25" s="52" t="n">
        <v>-510</v>
      </c>
      <c r="M25" s="35" t="n">
        <f aca="false">-M24*Assumptions!E10</f>
        <v>-615.664637430712</v>
      </c>
      <c r="N25" s="35" t="n">
        <f aca="false">-N24*Assumptions!F10</f>
        <v>-674.529437362257</v>
      </c>
      <c r="O25" s="35" t="n">
        <f aca="false">-O24*Assumptions!G10</f>
        <v>-738.740107844849</v>
      </c>
      <c r="P25" s="35" t="n">
        <f aca="false">-P24*Assumptions!H10</f>
        <v>-807.30155838174</v>
      </c>
    </row>
    <row r="26" customFormat="false" ht="18" hidden="false" customHeight="true" outlineLevel="0" collapsed="false">
      <c r="B26" s="0" t="s">
        <v>124</v>
      </c>
      <c r="C26" s="52" t="n">
        <v>-2.19999999999952</v>
      </c>
      <c r="D26" s="52" t="n">
        <v>-2</v>
      </c>
      <c r="E26" s="52" t="n">
        <v>-1.99999999999909</v>
      </c>
      <c r="F26" s="52" t="n">
        <v>-1.99999999999943</v>
      </c>
      <c r="G26" s="52" t="n">
        <v>0</v>
      </c>
      <c r="H26" s="52" t="n">
        <v>12.9000000000002</v>
      </c>
      <c r="I26" s="52" t="n">
        <v>-0.700000000000046</v>
      </c>
      <c r="J26" s="52" t="n">
        <v>0</v>
      </c>
      <c r="K26" s="52" t="n">
        <v>0</v>
      </c>
      <c r="L26" s="52" t="n">
        <v>0</v>
      </c>
      <c r="M26" s="52" t="n">
        <v>0</v>
      </c>
      <c r="N26" s="52" t="n">
        <v>0</v>
      </c>
      <c r="O26" s="52" t="n">
        <v>0</v>
      </c>
      <c r="P26" s="52" t="n">
        <v>0</v>
      </c>
    </row>
    <row r="27" customFormat="false" ht="4.95" hidden="false" customHeight="true" outlineLevel="0" collapsed="false"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5"/>
      <c r="N27" s="35"/>
      <c r="O27" s="35"/>
      <c r="P27" s="35"/>
    </row>
    <row r="28" customFormat="false" ht="18" hidden="false" customHeight="true" outlineLevel="0" collapsed="false">
      <c r="A28" s="0" t="s">
        <v>109</v>
      </c>
      <c r="B28" s="58" t="s">
        <v>125</v>
      </c>
      <c r="C28" s="59" t="n">
        <f aca="false">SUM(C24:C26)</f>
        <v>93.0000000000001</v>
      </c>
      <c r="D28" s="59" t="n">
        <f aca="false">SUM(D24:D26)</f>
        <v>651.9</v>
      </c>
      <c r="E28" s="59" t="n">
        <f aca="false">SUM(E24:E26)</f>
        <v>683.6</v>
      </c>
      <c r="F28" s="59" t="n">
        <f aca="false">SUM(F24:F26)</f>
        <v>620.6</v>
      </c>
      <c r="G28" s="59" t="n">
        <f aca="false">SUM(G24:G26)</f>
        <v>362.1</v>
      </c>
      <c r="H28" s="59" t="n">
        <f aca="false">SUM(H24:H26)</f>
        <v>810.6</v>
      </c>
      <c r="I28" s="59" t="n">
        <f aca="false">SUM(I24:I26)</f>
        <v>1125.8</v>
      </c>
      <c r="J28" s="59" t="n">
        <f aca="false">SUM(J24:J26)</f>
        <v>1408</v>
      </c>
      <c r="K28" s="59" t="n">
        <f aca="false">SUM(K24:K26)</f>
        <v>1582</v>
      </c>
      <c r="L28" s="59" t="n">
        <f aca="false">SUM(L24:L26)</f>
        <v>1838</v>
      </c>
      <c r="M28" s="59" t="n">
        <f aca="false">M24+M25</f>
        <v>1846.99391229214</v>
      </c>
      <c r="N28" s="59" t="n">
        <f aca="false">N24+N25</f>
        <v>2023.58831208677</v>
      </c>
      <c r="O28" s="59" t="n">
        <f aca="false">O24+O25</f>
        <v>2216.22032353455</v>
      </c>
      <c r="P28" s="59" t="n">
        <f aca="false">P24+P25</f>
        <v>2421.90467514522</v>
      </c>
    </row>
    <row r="29" customFormat="false" ht="15" hidden="false" customHeight="true" outlineLevel="0" collapsed="false">
      <c r="D29" s="49"/>
      <c r="E29" s="49"/>
      <c r="F29" s="49"/>
      <c r="G29" s="49"/>
      <c r="H29" s="49"/>
      <c r="I29" s="49"/>
      <c r="J29" s="49"/>
      <c r="K29" s="49"/>
      <c r="L29" s="49"/>
      <c r="M29" s="16"/>
    </row>
    <row r="31" customFormat="false" ht="14.4" hidden="false" customHeight="false" outlineLevel="0" collapsed="false">
      <c r="C31" s="60"/>
      <c r="D31" s="60"/>
      <c r="E31" s="60"/>
      <c r="F31" s="60"/>
      <c r="G31" s="60"/>
      <c r="H31" s="60"/>
      <c r="I31" s="60"/>
      <c r="J31" s="60"/>
      <c r="K31" s="60"/>
      <c r="L31" s="60"/>
      <c r="M31" s="16"/>
    </row>
    <row r="32" customFormat="false" ht="14.4" hidden="false" customHeight="false" outlineLevel="0" collapsed="false">
      <c r="C32" s="35"/>
      <c r="D32" s="35"/>
      <c r="E32" s="35"/>
      <c r="F32" s="35"/>
      <c r="G32" s="35"/>
      <c r="H32" s="35"/>
      <c r="I32" s="35"/>
      <c r="J32" s="35"/>
      <c r="K32" s="35"/>
      <c r="L32" s="35"/>
    </row>
    <row r="33" customFormat="false" ht="14.4" hidden="false" customHeight="false" outlineLevel="0" collapsed="false">
      <c r="C33" s="35"/>
      <c r="D33" s="35"/>
      <c r="E33" s="35"/>
      <c r="F33" s="35"/>
      <c r="G33" s="35"/>
      <c r="H33" s="35"/>
      <c r="I33" s="35"/>
      <c r="J33" s="35"/>
      <c r="K33" s="35"/>
      <c r="L33" s="35"/>
    </row>
    <row r="34" customFormat="false" ht="14.4" hidden="false" customHeight="false" outlineLevel="0" collapsed="false">
      <c r="L34" s="35"/>
    </row>
    <row r="43" customFormat="false" ht="14.4" hidden="false" customHeight="false" outlineLevel="0" collapsed="false">
      <c r="C43" s="1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875" defaultRowHeight="14.4" zeroHeight="false" outlineLevelRow="0" outlineLevelCol="0"/>
  <cols>
    <col collapsed="false" customWidth="true" hidden="false" outlineLevel="0" max="1" min="1" style="16" width="2.77"/>
    <col collapsed="false" customWidth="true" hidden="false" outlineLevel="0" max="2" min="2" style="0" width="50.78"/>
    <col collapsed="false" customWidth="true" hidden="false" outlineLevel="0" max="16" min="3" style="35" width="10.77"/>
  </cols>
  <sheetData>
    <row r="2" customFormat="false" ht="21" hidden="false" customHeight="true" outlineLevel="0" collapsed="false">
      <c r="B2" s="61" t="s">
        <v>126</v>
      </c>
    </row>
    <row r="4" customFormat="false" ht="14.4" hidden="false" customHeight="false" outlineLevel="0" collapsed="false">
      <c r="B4" s="8" t="s">
        <v>64</v>
      </c>
      <c r="C4" s="36" t="n">
        <v>2017</v>
      </c>
      <c r="D4" s="36" t="n">
        <f aca="false">C4+1</f>
        <v>2018</v>
      </c>
      <c r="E4" s="36" t="n">
        <f aca="false">D4+1</f>
        <v>2019</v>
      </c>
      <c r="F4" s="36" t="n">
        <f aca="false">E4+1</f>
        <v>2020</v>
      </c>
      <c r="G4" s="36" t="n">
        <f aca="false">F4+1</f>
        <v>2021</v>
      </c>
      <c r="H4" s="36" t="n">
        <f aca="false">G4+1</f>
        <v>2022</v>
      </c>
      <c r="I4" s="36" t="n">
        <f aca="false">H4+1</f>
        <v>2023</v>
      </c>
      <c r="J4" s="36" t="n">
        <f aca="false">I4+1</f>
        <v>2024</v>
      </c>
      <c r="K4" s="36" t="n">
        <f aca="false">J4+1</f>
        <v>2025</v>
      </c>
      <c r="L4" s="36" t="n">
        <f aca="false">K4+1</f>
        <v>2026</v>
      </c>
      <c r="M4" s="37" t="n">
        <f aca="false">L4+1</f>
        <v>2027</v>
      </c>
      <c r="N4" s="37" t="n">
        <f aca="false">M4+1</f>
        <v>2028</v>
      </c>
      <c r="O4" s="37" t="n">
        <f aca="false">N4+1</f>
        <v>2029</v>
      </c>
      <c r="P4" s="37" t="n">
        <f aca="false">O4+1</f>
        <v>2030</v>
      </c>
    </row>
    <row r="6" customFormat="false" ht="18" hidden="false" customHeight="true" outlineLevel="0" collapsed="false">
      <c r="A6" s="16" t="s">
        <v>109</v>
      </c>
      <c r="B6" s="62" t="s">
        <v>127</v>
      </c>
    </row>
    <row r="7" customFormat="false" ht="14.4" hidden="false" customHeight="false" outlineLevel="0" collapsed="false">
      <c r="B7" s="8" t="s">
        <v>128</v>
      </c>
    </row>
    <row r="8" customFormat="false" ht="14.4" hidden="false" customHeight="false" outlineLevel="0" collapsed="false">
      <c r="B8" s="63" t="s">
        <v>129</v>
      </c>
      <c r="C8" s="52" t="n">
        <v>145.3</v>
      </c>
      <c r="D8" s="52" t="n">
        <v>145.3</v>
      </c>
      <c r="E8" s="52" t="n">
        <v>145.3</v>
      </c>
      <c r="F8" s="52" t="n">
        <v>145.3</v>
      </c>
      <c r="G8" s="52" t="n">
        <v>145.3</v>
      </c>
      <c r="H8" s="52" t="n">
        <v>145.3</v>
      </c>
      <c r="I8" s="52" t="n">
        <v>145.5</v>
      </c>
      <c r="J8" s="52" t="n">
        <v>145</v>
      </c>
      <c r="K8" s="52" t="n">
        <v>145</v>
      </c>
      <c r="L8" s="52" t="n">
        <v>145</v>
      </c>
      <c r="M8" s="38" t="n">
        <f aca="false">L8</f>
        <v>145</v>
      </c>
      <c r="N8" s="38" t="n">
        <f aca="false">M8</f>
        <v>145</v>
      </c>
      <c r="O8" s="38" t="n">
        <f aca="false">N8</f>
        <v>145</v>
      </c>
      <c r="P8" s="38" t="n">
        <f aca="false">O8</f>
        <v>145</v>
      </c>
    </row>
    <row r="9" customFormat="false" ht="14.4" hidden="false" customHeight="false" outlineLevel="0" collapsed="false">
      <c r="B9" s="63" t="s">
        <v>130</v>
      </c>
      <c r="C9" s="52" t="n">
        <v>1640.3</v>
      </c>
      <c r="D9" s="52" t="n">
        <v>2273.8</v>
      </c>
      <c r="E9" s="52" t="n">
        <v>2945</v>
      </c>
      <c r="F9" s="52" t="n">
        <v>3582.7</v>
      </c>
      <c r="G9" s="52" t="n">
        <v>3974.5</v>
      </c>
      <c r="H9" s="52" t="n">
        <v>4808.4</v>
      </c>
      <c r="I9" s="52" t="n">
        <v>5854</v>
      </c>
      <c r="J9" s="52" t="n">
        <v>6976</v>
      </c>
      <c r="K9" s="52" t="n">
        <v>7959</v>
      </c>
      <c r="L9" s="52" t="n">
        <v>8808</v>
      </c>
      <c r="M9" s="35" t="n">
        <f aca="false">L9+M10+M11</f>
        <v>9417.50799105641</v>
      </c>
      <c r="N9" s="35" t="n">
        <f aca="false">M9+N10+N11</f>
        <v>10085.292134045</v>
      </c>
      <c r="O9" s="35" t="n">
        <f aca="false">N9+O10+O11</f>
        <v>10816.6448408114</v>
      </c>
      <c r="P9" s="35" t="n">
        <f aca="false">O9+P10+P11</f>
        <v>11615.8733836094</v>
      </c>
    </row>
    <row r="10" customFormat="false" ht="14.4" hidden="false" customHeight="false" outlineLevel="0" collapsed="false">
      <c r="B10" s="63" t="s">
        <v>131</v>
      </c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38" t="n">
        <f aca="false">PL!M28</f>
        <v>1846.99391229214</v>
      </c>
      <c r="N10" s="38" t="n">
        <f aca="false">PL!N28</f>
        <v>2023.58831208677</v>
      </c>
      <c r="O10" s="38" t="n">
        <f aca="false">PL!O28</f>
        <v>2216.22032353455</v>
      </c>
      <c r="P10" s="38" t="n">
        <f aca="false">PL!P28</f>
        <v>2421.90467514522</v>
      </c>
    </row>
    <row r="11" customFormat="false" ht="14.4" hidden="false" customHeight="false" outlineLevel="0" collapsed="false">
      <c r="B11" s="63" t="s">
        <v>132</v>
      </c>
      <c r="C11" s="52"/>
      <c r="D11" s="52"/>
      <c r="E11" s="52"/>
      <c r="F11" s="52"/>
      <c r="G11" s="52"/>
      <c r="H11" s="52"/>
      <c r="I11" s="52"/>
      <c r="J11" s="52"/>
      <c r="K11" s="52"/>
      <c r="L11" s="52"/>
      <c r="M11" s="35" t="n">
        <f aca="false">-M10*Assumptions!E11</f>
        <v>-1237.48592123573</v>
      </c>
      <c r="N11" s="35" t="n">
        <f aca="false">-N10*Assumptions!F11</f>
        <v>-1355.80416909814</v>
      </c>
      <c r="O11" s="35" t="n">
        <f aca="false">-O10*Assumptions!G11</f>
        <v>-1484.86761676815</v>
      </c>
      <c r="P11" s="35" t="n">
        <f aca="false">-P10*Assumptions!H11</f>
        <v>-1622.6761323473</v>
      </c>
    </row>
    <row r="12" customFormat="false" ht="14.4" hidden="false" customHeight="false" outlineLevel="0" collapsed="false">
      <c r="B12" s="64" t="s">
        <v>133</v>
      </c>
      <c r="C12" s="39" t="n">
        <f aca="false">SUM(C8:C9)</f>
        <v>1785.6</v>
      </c>
      <c r="D12" s="39" t="n">
        <f aca="false">SUM(D8:D9)</f>
        <v>2419.1</v>
      </c>
      <c r="E12" s="39" t="n">
        <f aca="false">SUM(E8:E9)</f>
        <v>3090.3</v>
      </c>
      <c r="F12" s="39" t="n">
        <f aca="false">SUM(F8:F9)</f>
        <v>3728</v>
      </c>
      <c r="G12" s="39" t="n">
        <f aca="false">SUM(G8:G9)</f>
        <v>4119.8</v>
      </c>
      <c r="H12" s="39" t="n">
        <f aca="false">SUM(H8:H9)</f>
        <v>4953.7</v>
      </c>
      <c r="I12" s="39" t="n">
        <f aca="false">SUM(I8:I9)</f>
        <v>5999.5</v>
      </c>
      <c r="J12" s="39" t="n">
        <f aca="false">SUM(J8:J9)</f>
        <v>7121</v>
      </c>
      <c r="K12" s="39" t="n">
        <f aca="false">SUM(K8:K9)</f>
        <v>8104</v>
      </c>
      <c r="L12" s="39" t="n">
        <f aca="false">SUM(L8:L9)</f>
        <v>8953</v>
      </c>
      <c r="M12" s="39" t="n">
        <f aca="false">SUM(M8:M9)</f>
        <v>9562.50799105641</v>
      </c>
      <c r="N12" s="39" t="n">
        <f aca="false">SUM(N8:N9)</f>
        <v>10230.292134045</v>
      </c>
      <c r="O12" s="39" t="n">
        <f aca="false">SUM(O8:O9)</f>
        <v>10961.6448408114</v>
      </c>
      <c r="P12" s="39" t="n">
        <f aca="false">SUM(P8:P9)</f>
        <v>11760.8733836094</v>
      </c>
    </row>
    <row r="14" customFormat="false" ht="14.4" hidden="false" customHeight="false" outlineLevel="0" collapsed="false">
      <c r="A14" s="16" t="s">
        <v>109</v>
      </c>
      <c r="B14" s="8" t="s">
        <v>134</v>
      </c>
    </row>
    <row r="15" customFormat="false" ht="14.4" hidden="false" customHeight="false" outlineLevel="0" collapsed="false">
      <c r="B15" s="63" t="s">
        <v>135</v>
      </c>
      <c r="C15" s="52" t="n">
        <v>869.7</v>
      </c>
      <c r="D15" s="52" t="n">
        <v>762.8</v>
      </c>
      <c r="E15" s="52" t="n">
        <v>780.4</v>
      </c>
      <c r="F15" s="52" t="n">
        <v>14.7</v>
      </c>
      <c r="G15" s="52" t="n">
        <v>2.2</v>
      </c>
      <c r="H15" s="52" t="n">
        <v>0.9</v>
      </c>
      <c r="I15" s="52" t="n">
        <v>0.3</v>
      </c>
      <c r="J15" s="52" t="n">
        <v>0</v>
      </c>
      <c r="K15" s="52" t="n">
        <v>0</v>
      </c>
      <c r="L15" s="52" t="n">
        <v>0</v>
      </c>
      <c r="M15" s="38" t="n">
        <f aca="false">L15</f>
        <v>0</v>
      </c>
      <c r="N15" s="38" t="n">
        <f aca="false">M15</f>
        <v>0</v>
      </c>
      <c r="O15" s="38" t="n">
        <f aca="false">N15</f>
        <v>0</v>
      </c>
      <c r="P15" s="38" t="n">
        <f aca="false">O15</f>
        <v>0</v>
      </c>
    </row>
    <row r="16" customFormat="false" ht="14.4" hidden="false" customHeight="false" outlineLevel="0" collapsed="false">
      <c r="B16" s="63" t="s">
        <v>136</v>
      </c>
      <c r="C16" s="52" t="n">
        <v>0</v>
      </c>
      <c r="D16" s="52" t="n">
        <v>0</v>
      </c>
      <c r="E16" s="52" t="n">
        <v>0</v>
      </c>
      <c r="F16" s="52" t="n">
        <v>7.6</v>
      </c>
      <c r="G16" s="52" t="n">
        <v>26.1</v>
      </c>
      <c r="H16" s="52" t="n">
        <v>48.3</v>
      </c>
      <c r="I16" s="52" t="n">
        <v>45.1</v>
      </c>
      <c r="J16" s="52" t="n">
        <v>73</v>
      </c>
      <c r="K16" s="52" t="n">
        <v>72</v>
      </c>
      <c r="L16" s="52" t="n">
        <v>18</v>
      </c>
      <c r="M16" s="38" t="n">
        <f aca="false">L16</f>
        <v>18</v>
      </c>
      <c r="N16" s="38" t="n">
        <f aca="false">M16</f>
        <v>18</v>
      </c>
      <c r="O16" s="38" t="n">
        <f aca="false">N16</f>
        <v>18</v>
      </c>
      <c r="P16" s="38" t="n">
        <f aca="false">O16</f>
        <v>18</v>
      </c>
    </row>
    <row r="17" customFormat="false" ht="14.4" hidden="false" customHeight="false" outlineLevel="0" collapsed="false">
      <c r="B17" s="63" t="s">
        <v>137</v>
      </c>
      <c r="C17" s="52" t="n">
        <v>13.5</v>
      </c>
      <c r="D17" s="52" t="n">
        <v>7</v>
      </c>
      <c r="E17" s="52" t="n">
        <v>23.9</v>
      </c>
      <c r="F17" s="52" t="n">
        <v>196.5</v>
      </c>
      <c r="G17" s="52" t="n">
        <v>157.8</v>
      </c>
      <c r="H17" s="52" t="n">
        <v>263.9</v>
      </c>
      <c r="I17" s="52" t="n">
        <v>182.4</v>
      </c>
      <c r="J17" s="52" t="n">
        <v>240.4</v>
      </c>
      <c r="K17" s="52" t="n">
        <v>480</v>
      </c>
      <c r="L17" s="52" t="n">
        <v>407</v>
      </c>
      <c r="M17" s="38" t="n">
        <f aca="false">'Working Schedules'!H22</f>
        <v>467.5928</v>
      </c>
      <c r="N17" s="38" t="n">
        <f aca="false">'Working Schedules'!I22</f>
        <v>536.1912</v>
      </c>
      <c r="O17" s="38" t="n">
        <f aca="false">'Working Schedules'!J22</f>
        <v>608.847008</v>
      </c>
      <c r="P17" s="38" t="n">
        <f aca="false">'Working Schedules'!K22</f>
        <v>685.61038256</v>
      </c>
    </row>
    <row r="18" customFormat="false" ht="14.4" hidden="false" customHeight="false" outlineLevel="0" collapsed="false">
      <c r="B18" s="64" t="s">
        <v>138</v>
      </c>
      <c r="C18" s="39" t="n">
        <f aca="false">SUM(C15:C17)</f>
        <v>883.2</v>
      </c>
      <c r="D18" s="39" t="n">
        <f aca="false">SUM(D15:D17)</f>
        <v>769.8</v>
      </c>
      <c r="E18" s="39" t="n">
        <f aca="false">SUM(E15:E17)</f>
        <v>804.3</v>
      </c>
      <c r="F18" s="39" t="n">
        <f aca="false">SUM(F15:F17)</f>
        <v>218.8</v>
      </c>
      <c r="G18" s="39" t="n">
        <f aca="false">SUM(G15:G17)</f>
        <v>186.1</v>
      </c>
      <c r="H18" s="39" t="n">
        <f aca="false">SUM(H15:H17)</f>
        <v>313.1</v>
      </c>
      <c r="I18" s="39" t="n">
        <f aca="false">SUM(I15:I17)</f>
        <v>227.8</v>
      </c>
      <c r="J18" s="39" t="n">
        <f aca="false">SUM(J15:J17)</f>
        <v>313.4</v>
      </c>
      <c r="K18" s="39" t="n">
        <f aca="false">SUM(K15:K17)</f>
        <v>552</v>
      </c>
      <c r="L18" s="39" t="n">
        <f aca="false">SUM(L15:L17)</f>
        <v>425</v>
      </c>
      <c r="M18" s="39" t="n">
        <f aca="false">SUM(M15:M17)</f>
        <v>485.5928</v>
      </c>
      <c r="N18" s="39" t="n">
        <f aca="false">SUM(N15:N17)</f>
        <v>554.1912</v>
      </c>
      <c r="O18" s="39" t="n">
        <f aca="false">SUM(O15:O17)</f>
        <v>626.847008</v>
      </c>
      <c r="P18" s="39" t="n">
        <f aca="false">SUM(P15:P17)</f>
        <v>703.61038256</v>
      </c>
    </row>
    <row r="19" customFormat="false" ht="14.4" hidden="false" customHeight="false" outlineLevel="0" collapsed="false">
      <c r="B19" s="64"/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</row>
    <row r="20" customFormat="false" ht="14.4" hidden="false" customHeight="false" outlineLevel="0" collapsed="false">
      <c r="A20" s="16" t="s">
        <v>109</v>
      </c>
      <c r="B20" s="46" t="s">
        <v>139</v>
      </c>
    </row>
    <row r="21" customFormat="false" ht="14.4" hidden="false" customHeight="false" outlineLevel="0" collapsed="false">
      <c r="B21" s="63" t="s">
        <v>89</v>
      </c>
      <c r="C21" s="52" t="n">
        <v>1224.7</v>
      </c>
      <c r="D21" s="52" t="n">
        <v>1455.1</v>
      </c>
      <c r="E21" s="52" t="n">
        <v>1408.3</v>
      </c>
      <c r="F21" s="52" t="n">
        <v>1199.4</v>
      </c>
      <c r="G21" s="52" t="n">
        <v>1417.2</v>
      </c>
      <c r="H21" s="52" t="n">
        <v>1582.1</v>
      </c>
      <c r="I21" s="52" t="n">
        <v>1782.5</v>
      </c>
      <c r="J21" s="52" t="n">
        <v>1954</v>
      </c>
      <c r="K21" s="52" t="n">
        <v>2239</v>
      </c>
      <c r="L21" s="52" t="n">
        <v>2383</v>
      </c>
      <c r="M21" s="35" t="n">
        <f aca="false">'Working Capital Schedule'!M15</f>
        <v>2121.48421835616</v>
      </c>
      <c r="N21" s="35" t="n">
        <f aca="false">'Working Capital Schedule'!N15</f>
        <v>2698.72715071781</v>
      </c>
      <c r="O21" s="35" t="n">
        <f aca="false">'Working Capital Schedule'!O15</f>
        <v>2411.14321636811</v>
      </c>
      <c r="P21" s="35" t="n">
        <f aca="false">'Working Capital Schedule'!P15</f>
        <v>3005.31937274297</v>
      </c>
    </row>
    <row r="22" customFormat="false" ht="14.4" hidden="false" customHeight="false" outlineLevel="0" collapsed="false">
      <c r="B22" s="63" t="s">
        <v>140</v>
      </c>
      <c r="C22" s="52" t="n">
        <v>2906.9</v>
      </c>
      <c r="D22" s="52" t="n">
        <v>2301.3</v>
      </c>
      <c r="E22" s="52" t="n">
        <v>2089.4</v>
      </c>
      <c r="F22" s="52" t="n">
        <v>1606</v>
      </c>
      <c r="G22" s="52" t="n">
        <v>874.5</v>
      </c>
      <c r="H22" s="52" t="n">
        <v>340.8</v>
      </c>
      <c r="I22" s="52" t="n">
        <v>0.8</v>
      </c>
      <c r="J22" s="52" t="n">
        <v>25</v>
      </c>
      <c r="K22" s="52" t="n">
        <v>0</v>
      </c>
      <c r="L22" s="52" t="n">
        <v>6</v>
      </c>
      <c r="M22" s="38" t="n">
        <f aca="false">L22</f>
        <v>6</v>
      </c>
      <c r="N22" s="38" t="n">
        <f aca="false">M22</f>
        <v>6</v>
      </c>
      <c r="O22" s="38" t="n">
        <f aca="false">N22</f>
        <v>6</v>
      </c>
      <c r="P22" s="38" t="n">
        <f aca="false">O22</f>
        <v>6</v>
      </c>
    </row>
    <row r="23" customFormat="false" ht="14.4" hidden="false" customHeight="false" outlineLevel="0" collapsed="false">
      <c r="B23" s="63" t="s">
        <v>141</v>
      </c>
      <c r="C23" s="52" t="n">
        <v>319.4</v>
      </c>
      <c r="D23" s="52" t="n">
        <v>361.9</v>
      </c>
      <c r="E23" s="52" t="n">
        <v>399.2</v>
      </c>
      <c r="F23" s="52" t="n">
        <v>462.1</v>
      </c>
      <c r="G23" s="52" t="n">
        <v>583.4</v>
      </c>
      <c r="H23" s="52" t="n">
        <v>502.9</v>
      </c>
      <c r="I23" s="52" t="n">
        <v>385.4</v>
      </c>
      <c r="J23" s="52" t="n">
        <v>383</v>
      </c>
      <c r="K23" s="52" t="n">
        <v>391</v>
      </c>
      <c r="L23" s="52" t="n">
        <v>541</v>
      </c>
      <c r="M23" s="35" t="n">
        <f aca="false">Assumptions!E23*PL!M5</f>
        <v>597.91732</v>
      </c>
      <c r="N23" s="35" t="n">
        <f aca="false">Assumptions!F23*PL!N5</f>
        <v>645.7507056</v>
      </c>
      <c r="O23" s="35" t="n">
        <f aca="false">Assumptions!G23*PL!O5</f>
        <v>690.953254992</v>
      </c>
      <c r="P23" s="35" t="n">
        <f aca="false">Assumptions!H23*PL!P5</f>
        <v>739.31998284144</v>
      </c>
    </row>
    <row r="24" customFormat="false" ht="14.4" hidden="false" customHeight="false" outlineLevel="0" collapsed="false">
      <c r="B24" s="63" t="s">
        <v>142</v>
      </c>
      <c r="C24" s="52" t="n">
        <v>1776.1</v>
      </c>
      <c r="D24" s="52" t="n">
        <v>1649.1</v>
      </c>
      <c r="E24" s="52" t="n">
        <v>1317.4</v>
      </c>
      <c r="F24" s="52" t="n">
        <v>1637</v>
      </c>
      <c r="G24" s="52" t="n">
        <v>1356</v>
      </c>
      <c r="H24" s="52" t="n">
        <v>1218.7</v>
      </c>
      <c r="I24" s="52" t="n">
        <v>1365.5</v>
      </c>
      <c r="J24" s="52" t="n">
        <v>1452.6</v>
      </c>
      <c r="K24" s="52" t="n">
        <v>1962</v>
      </c>
      <c r="L24" s="52" t="n">
        <v>2161</v>
      </c>
      <c r="M24" s="35" t="n">
        <f aca="false">Assumptions!E24*PL!M5</f>
        <v>2174.2448</v>
      </c>
      <c r="N24" s="35" t="n">
        <f aca="false">Assumptions!F24*PL!N5</f>
        <v>2348.184384</v>
      </c>
      <c r="O24" s="35" t="n">
        <f aca="false">Assumptions!G24*PL!O5</f>
        <v>2512.55729088</v>
      </c>
      <c r="P24" s="35" t="n">
        <f aca="false">Assumptions!H24*PL!P5</f>
        <v>2688.4363012416</v>
      </c>
    </row>
    <row r="25" customFormat="false" ht="14.4" hidden="false" customHeight="false" outlineLevel="0" collapsed="false">
      <c r="B25" s="64" t="s">
        <v>106</v>
      </c>
      <c r="C25" s="39" t="n">
        <f aca="false">SUM(C21:C24)</f>
        <v>6227.1</v>
      </c>
      <c r="D25" s="39" t="n">
        <f aca="false">SUM(D21:D24)</f>
        <v>5767.4</v>
      </c>
      <c r="E25" s="39" t="n">
        <f aca="false">SUM(E21:E24)</f>
        <v>5214.3</v>
      </c>
      <c r="F25" s="39" t="n">
        <f aca="false">SUM(F21:F24)</f>
        <v>4904.5</v>
      </c>
      <c r="G25" s="39" t="n">
        <f aca="false">SUM(G21:G24)</f>
        <v>4231.1</v>
      </c>
      <c r="H25" s="39" t="n">
        <f aca="false">SUM(H21:H24)</f>
        <v>3644.5</v>
      </c>
      <c r="I25" s="39" t="n">
        <f aca="false">SUM(I21:I24)</f>
        <v>3534.2</v>
      </c>
      <c r="J25" s="39" t="n">
        <f aca="false">SUM(J21:J24)</f>
        <v>3814.6</v>
      </c>
      <c r="K25" s="39" t="n">
        <f aca="false">SUM(K21:K24)</f>
        <v>4592</v>
      </c>
      <c r="L25" s="39" t="n">
        <f aca="false">SUM(L21:L24)</f>
        <v>5091</v>
      </c>
      <c r="M25" s="39" t="n">
        <f aca="false">SUM(M21:M24)</f>
        <v>4899.64633835616</v>
      </c>
      <c r="N25" s="39" t="n">
        <f aca="false">SUM(N21:N24)</f>
        <v>5698.66224031781</v>
      </c>
      <c r="O25" s="39" t="n">
        <f aca="false">SUM(O21:O24)</f>
        <v>5620.65376224011</v>
      </c>
      <c r="P25" s="39" t="n">
        <f aca="false">SUM(P21:P24)</f>
        <v>6439.07565682601</v>
      </c>
    </row>
    <row r="27" customFormat="false" ht="14.4" hidden="false" customHeight="false" outlineLevel="0" collapsed="false">
      <c r="A27" s="16" t="s">
        <v>109</v>
      </c>
      <c r="B27" s="8" t="s">
        <v>143</v>
      </c>
      <c r="C27" s="39" t="n">
        <f aca="false">C12+C18+C25</f>
        <v>8895.9</v>
      </c>
      <c r="D27" s="39" t="n">
        <f aca="false">D12+D18+D25</f>
        <v>8956.3</v>
      </c>
      <c r="E27" s="39" t="n">
        <f aca="false">E12+E18+E25</f>
        <v>9108.9</v>
      </c>
      <c r="F27" s="39" t="n">
        <f aca="false">F12+F18+F25</f>
        <v>8851.3</v>
      </c>
      <c r="G27" s="39" t="n">
        <f aca="false">G12+G18+G25</f>
        <v>8537</v>
      </c>
      <c r="H27" s="39" t="n">
        <f aca="false">H12+H18+H25</f>
        <v>8911.3</v>
      </c>
      <c r="I27" s="39" t="n">
        <f aca="false">I12+I18+I25</f>
        <v>9761.5</v>
      </c>
      <c r="J27" s="39" t="n">
        <f aca="false">J12+J18+J25</f>
        <v>11249</v>
      </c>
      <c r="K27" s="39" t="n">
        <f aca="false">K12+K18+K25</f>
        <v>13248</v>
      </c>
      <c r="L27" s="39" t="n">
        <f aca="false">L12+L18+L25</f>
        <v>14469</v>
      </c>
      <c r="M27" s="39" t="n">
        <f aca="false">M12+M18+M25</f>
        <v>14947.7471294126</v>
      </c>
      <c r="N27" s="39" t="n">
        <f aca="false">N12+N18+N25</f>
        <v>16483.1455743628</v>
      </c>
      <c r="O27" s="39" t="n">
        <f aca="false">O12+O18+O25</f>
        <v>17209.1456110516</v>
      </c>
      <c r="P27" s="39" t="n">
        <f aca="false">P12+P18+P25</f>
        <v>18903.5594229954</v>
      </c>
    </row>
    <row r="29" customFormat="false" ht="18" hidden="false" customHeight="true" outlineLevel="0" collapsed="false">
      <c r="B29" s="62" t="s">
        <v>144</v>
      </c>
    </row>
    <row r="30" customFormat="false" ht="14.4" hidden="false" customHeight="false" outlineLevel="0" collapsed="false">
      <c r="B30" s="8" t="s">
        <v>145</v>
      </c>
    </row>
    <row r="31" customFormat="false" ht="14.4" hidden="false" customHeight="false" outlineLevel="0" collapsed="false">
      <c r="B31" s="8" t="s">
        <v>146</v>
      </c>
    </row>
    <row r="32" customFormat="false" ht="14.4" hidden="false" customHeight="false" outlineLevel="0" collapsed="false">
      <c r="B32" s="63" t="s">
        <v>147</v>
      </c>
      <c r="C32" s="35" t="n">
        <v>1455.4</v>
      </c>
      <c r="D32" s="35" t="n">
        <v>1418.2</v>
      </c>
      <c r="E32" s="52" t="n">
        <v>1371.4</v>
      </c>
      <c r="F32" s="52" t="n">
        <v>1353.8</v>
      </c>
      <c r="G32" s="52" t="n">
        <v>1324.7</v>
      </c>
      <c r="H32" s="52" t="n">
        <v>1215.2</v>
      </c>
      <c r="I32" s="52" t="n">
        <v>978.3</v>
      </c>
      <c r="J32" s="52" t="n">
        <v>844</v>
      </c>
      <c r="K32" s="52" t="n">
        <v>850</v>
      </c>
      <c r="L32" s="52" t="n">
        <v>1215</v>
      </c>
      <c r="M32" s="38" t="n">
        <f aca="false">'Working Schedules'!H67</f>
        <v>1266.53775</v>
      </c>
      <c r="N32" s="38" t="n">
        <f aca="false">'Working Schedules'!I67</f>
        <v>1321.3844</v>
      </c>
      <c r="O32" s="38" t="n">
        <f aca="false">'Working Schedules'!J67</f>
        <v>1376.251175</v>
      </c>
      <c r="P32" s="38" t="n">
        <f aca="false">'Working Schedules'!K67</f>
        <v>1431.029575</v>
      </c>
    </row>
    <row r="33" customFormat="false" ht="14.4" hidden="false" customHeight="false" outlineLevel="0" collapsed="false">
      <c r="B33" s="63" t="s">
        <v>37</v>
      </c>
      <c r="C33" s="35" t="n">
        <v>199.3</v>
      </c>
      <c r="D33" s="35" t="n">
        <v>101.8</v>
      </c>
      <c r="E33" s="52" t="n">
        <v>101.9</v>
      </c>
      <c r="F33" s="52" t="n">
        <v>104.1</v>
      </c>
      <c r="G33" s="52" t="n">
        <v>88.3</v>
      </c>
      <c r="H33" s="52" t="n">
        <v>87.7</v>
      </c>
      <c r="I33" s="52" t="n">
        <v>66.8</v>
      </c>
      <c r="J33" s="52" t="n">
        <v>37</v>
      </c>
      <c r="K33" s="52" t="n">
        <v>72</v>
      </c>
      <c r="L33" s="52" t="n">
        <v>77</v>
      </c>
      <c r="M33" s="38" t="n">
        <f aca="false">'Working Schedules'!H44</f>
        <v>77</v>
      </c>
      <c r="N33" s="38" t="n">
        <f aca="false">'Working Schedules'!I44</f>
        <v>77</v>
      </c>
      <c r="O33" s="38" t="n">
        <f aca="false">'Working Schedules'!J44</f>
        <v>77</v>
      </c>
      <c r="P33" s="38" t="n">
        <f aca="false">'Working Schedules'!K44</f>
        <v>77</v>
      </c>
    </row>
    <row r="34" customFormat="false" ht="14.4" hidden="false" customHeight="false" outlineLevel="0" collapsed="false">
      <c r="B34" s="63" t="s">
        <v>148</v>
      </c>
      <c r="E34" s="52"/>
      <c r="F34" s="52" t="n">
        <v>197.5</v>
      </c>
      <c r="G34" s="52" t="n">
        <v>164.4</v>
      </c>
      <c r="H34" s="52" t="n">
        <v>260.6</v>
      </c>
      <c r="I34" s="52" t="n">
        <v>172.6</v>
      </c>
      <c r="J34" s="52" t="n">
        <v>226.6</v>
      </c>
      <c r="K34" s="52" t="n">
        <v>456.6</v>
      </c>
      <c r="L34" s="52" t="n">
        <v>500.49</v>
      </c>
      <c r="M34" s="38" t="n">
        <f aca="false">'Working Schedules'!H55</f>
        <v>612.138342857143</v>
      </c>
      <c r="N34" s="38" t="n">
        <f aca="false">'Working Schedules'!I55</f>
        <v>710.227285714286</v>
      </c>
      <c r="O34" s="38" t="n">
        <f aca="false">'Working Schedules'!J55</f>
        <v>788.333942857143</v>
      </c>
      <c r="P34" s="38" t="n">
        <f aca="false">'Working Schedules'!K55</f>
        <v>844.965457142857</v>
      </c>
    </row>
    <row r="35" customFormat="false" ht="14.4" hidden="false" customHeight="false" outlineLevel="0" collapsed="false">
      <c r="B35" s="63" t="s">
        <v>149</v>
      </c>
      <c r="C35" s="35" t="n">
        <v>393.2</v>
      </c>
      <c r="D35" s="35" t="n">
        <v>383.8</v>
      </c>
      <c r="E35" s="52" t="n">
        <v>373.7</v>
      </c>
      <c r="F35" s="52" t="n">
        <v>383.6</v>
      </c>
      <c r="G35" s="52" t="n">
        <v>375.5</v>
      </c>
      <c r="H35" s="52" t="n">
        <v>358</v>
      </c>
      <c r="I35" s="52" t="n">
        <v>356.7</v>
      </c>
      <c r="J35" s="52" t="n">
        <v>349</v>
      </c>
      <c r="K35" s="52" t="n">
        <v>329</v>
      </c>
      <c r="L35" s="52" t="n">
        <v>76</v>
      </c>
      <c r="M35" s="38" t="n">
        <f aca="false">'Working Schedules'!H81</f>
        <v>49.6084</v>
      </c>
      <c r="N35" s="38" t="n">
        <f aca="false">'Working Schedules'!I81</f>
        <v>50.127904</v>
      </c>
      <c r="O35" s="38" t="n">
        <f aca="false">'Working Schedules'!J81</f>
        <v>50.931928</v>
      </c>
      <c r="P35" s="38" t="n">
        <f aca="false">'Working Schedules'!K81</f>
        <v>52.031112</v>
      </c>
    </row>
    <row r="36" customFormat="false" ht="14.4" hidden="false" customHeight="false" outlineLevel="0" collapsed="false">
      <c r="B36" s="63" t="s">
        <v>150</v>
      </c>
      <c r="C36" s="35" t="n">
        <v>68</v>
      </c>
      <c r="D36" s="35" t="n">
        <v>36.1</v>
      </c>
      <c r="E36" s="52" t="n">
        <v>49.3</v>
      </c>
      <c r="F36" s="52" t="n">
        <v>21</v>
      </c>
      <c r="G36" s="52" t="n">
        <v>21</v>
      </c>
      <c r="H36" s="52" t="n">
        <v>21</v>
      </c>
      <c r="I36" s="52" t="n">
        <v>1</v>
      </c>
      <c r="J36" s="52" t="n">
        <v>1</v>
      </c>
      <c r="K36" s="52" t="n">
        <v>1</v>
      </c>
      <c r="L36" s="52" t="n">
        <v>55</v>
      </c>
      <c r="M36" s="38" t="n">
        <f aca="false">L36</f>
        <v>55</v>
      </c>
      <c r="N36" s="38" t="n">
        <f aca="false">M36</f>
        <v>55</v>
      </c>
      <c r="O36" s="38" t="n">
        <f aca="false">N36</f>
        <v>55</v>
      </c>
      <c r="P36" s="38" t="n">
        <f aca="false">O36</f>
        <v>55</v>
      </c>
    </row>
    <row r="37" customFormat="false" ht="14.4" hidden="false" customHeight="false" outlineLevel="0" collapsed="false">
      <c r="B37" s="64" t="s">
        <v>151</v>
      </c>
      <c r="C37" s="39" t="n">
        <f aca="false">SUM(C32:C36)</f>
        <v>2115.9</v>
      </c>
      <c r="D37" s="39" t="n">
        <f aca="false">SUM(D32:D36)</f>
        <v>1939.9</v>
      </c>
      <c r="E37" s="39" t="n">
        <f aca="false">SUM(E32:E36)</f>
        <v>1896.3</v>
      </c>
      <c r="F37" s="39" t="n">
        <f aca="false">SUM(F32:F36)</f>
        <v>2060</v>
      </c>
      <c r="G37" s="39" t="n">
        <f aca="false">SUM(G32:G36)</f>
        <v>1973.9</v>
      </c>
      <c r="H37" s="39" t="n">
        <f aca="false">SUM(H32:H36)</f>
        <v>1942.5</v>
      </c>
      <c r="I37" s="39" t="n">
        <f aca="false">SUM(I32:I36)</f>
        <v>1575.4</v>
      </c>
      <c r="J37" s="39" t="n">
        <f aca="false">SUM(J32:J36)</f>
        <v>1457.6</v>
      </c>
      <c r="K37" s="39" t="n">
        <f aca="false">SUM(K32:K36)</f>
        <v>1708.6</v>
      </c>
      <c r="L37" s="39" t="n">
        <f aca="false">SUM(L32:L36)</f>
        <v>1923.49</v>
      </c>
      <c r="M37" s="39" t="n">
        <f aca="false">SUM(M32:M36)</f>
        <v>2060.28449285714</v>
      </c>
      <c r="N37" s="39" t="n">
        <f aca="false">SUM(N32:N36)</f>
        <v>2213.73958971429</v>
      </c>
      <c r="O37" s="39" t="n">
        <f aca="false">SUM(O32:O36)</f>
        <v>2347.51704585714</v>
      </c>
      <c r="P37" s="39" t="n">
        <f aca="false">SUM(P32:P36)</f>
        <v>2460.02614414286</v>
      </c>
    </row>
    <row r="38" customFormat="false" ht="14.4" hidden="false" customHeight="false" outlineLevel="0" collapsed="false">
      <c r="B38" s="63" t="s">
        <v>152</v>
      </c>
      <c r="C38" s="35" t="n">
        <v>1030.9</v>
      </c>
      <c r="D38" s="35" t="n">
        <v>1280.2</v>
      </c>
      <c r="E38" s="52" t="n">
        <v>1948.8</v>
      </c>
      <c r="F38" s="52" t="n">
        <v>1921</v>
      </c>
      <c r="G38" s="52" t="n">
        <v>1760.1</v>
      </c>
      <c r="H38" s="52" t="n">
        <v>1805.4</v>
      </c>
      <c r="I38" s="52" t="n">
        <v>1951.5</v>
      </c>
      <c r="J38" s="52" t="n">
        <v>2414.4</v>
      </c>
      <c r="K38" s="52" t="n">
        <v>2337.4</v>
      </c>
      <c r="L38" s="52" t="n">
        <v>1982.51</v>
      </c>
      <c r="M38" s="52" t="n">
        <f aca="false">M27-M37-M46</f>
        <v>2009.9114</v>
      </c>
      <c r="N38" s="52" t="n">
        <f aca="false">N27-N37-N46</f>
        <v>2009.9114</v>
      </c>
      <c r="O38" s="52" t="n">
        <f aca="false">O27-O37-O46</f>
        <v>2009.9114</v>
      </c>
      <c r="P38" s="52" t="n">
        <f aca="false">P27-P37-P46</f>
        <v>2009.9114</v>
      </c>
      <c r="R38" s="0" t="s">
        <v>153</v>
      </c>
    </row>
    <row r="39" customFormat="false" ht="14.4" hidden="false" customHeight="false" outlineLevel="0" collapsed="false">
      <c r="B39" s="64" t="s">
        <v>154</v>
      </c>
      <c r="C39" s="39" t="n">
        <f aca="false">SUM(C37:C38)</f>
        <v>3146.8</v>
      </c>
      <c r="D39" s="39" t="n">
        <f aca="false">SUM(D37:D38)</f>
        <v>3220.1</v>
      </c>
      <c r="E39" s="39" t="n">
        <f aca="false">SUM(E37:E38)</f>
        <v>3845.1</v>
      </c>
      <c r="F39" s="39" t="n">
        <f aca="false">SUM(F37:F38)</f>
        <v>3981</v>
      </c>
      <c r="G39" s="39" t="n">
        <f aca="false">SUM(G37:G38)</f>
        <v>3734</v>
      </c>
      <c r="H39" s="39" t="n">
        <f aca="false">SUM(H37:H38)</f>
        <v>3747.9</v>
      </c>
      <c r="I39" s="39" t="n">
        <f aca="false">SUM(I37:I38)</f>
        <v>3526.9</v>
      </c>
      <c r="J39" s="39" t="n">
        <f aca="false">SUM(J37:J38)</f>
        <v>3872</v>
      </c>
      <c r="K39" s="39" t="n">
        <f aca="false">SUM(K37:K38)</f>
        <v>4046</v>
      </c>
      <c r="L39" s="39" t="n">
        <f aca="false">SUM(L37:L38)</f>
        <v>3906</v>
      </c>
      <c r="M39" s="39" t="n">
        <f aca="false">SUM(M37:M38)</f>
        <v>4070.19589285714</v>
      </c>
      <c r="N39" s="39" t="n">
        <f aca="false">SUM(N37:N38)</f>
        <v>4223.65098971429</v>
      </c>
      <c r="O39" s="39" t="n">
        <f aca="false">SUM(O37:O38)</f>
        <v>4357.42844585714</v>
      </c>
      <c r="P39" s="39" t="n">
        <f aca="false">SUM(P37:P38)</f>
        <v>4469.93754414286</v>
      </c>
    </row>
    <row r="40" customFormat="false" ht="14.4" hidden="false" customHeight="false" outlineLevel="0" collapsed="false">
      <c r="B40" s="64"/>
    </row>
    <row r="41" customFormat="false" ht="14.4" hidden="false" customHeight="false" outlineLevel="0" collapsed="false">
      <c r="B41" s="46" t="s">
        <v>155</v>
      </c>
    </row>
    <row r="42" customFormat="false" ht="14.4" hidden="false" customHeight="false" outlineLevel="0" collapsed="false">
      <c r="B42" s="63" t="s">
        <v>102</v>
      </c>
      <c r="C42" s="35" t="n">
        <v>2953.4</v>
      </c>
      <c r="D42" s="35" t="n">
        <v>2711.2</v>
      </c>
      <c r="E42" s="52" t="n">
        <v>2542.5</v>
      </c>
      <c r="F42" s="52" t="n">
        <v>2283.5</v>
      </c>
      <c r="G42" s="52" t="n">
        <v>2187.2</v>
      </c>
      <c r="H42" s="52" t="n">
        <v>2373.6</v>
      </c>
      <c r="I42" s="52" t="n">
        <v>2434</v>
      </c>
      <c r="J42" s="52" t="n">
        <v>3056</v>
      </c>
      <c r="K42" s="52" t="n">
        <v>3410</v>
      </c>
      <c r="L42" s="52" t="n">
        <v>3609</v>
      </c>
      <c r="M42" s="38" t="n">
        <f aca="false">'Working Capital Schedule'!M9</f>
        <v>3613.66252054795</v>
      </c>
      <c r="N42" s="38" t="n">
        <f aca="false">'Working Capital Schedule'!N9</f>
        <v>4186.81300164384</v>
      </c>
      <c r="O42" s="38" t="n">
        <f aca="false">'Working Capital Schedule'!O9</f>
        <v>4159.69580710137</v>
      </c>
      <c r="P42" s="38" t="n">
        <f aca="false">'Working Capital Schedule'!P9</f>
        <v>4771.068618256</v>
      </c>
    </row>
    <row r="43" customFormat="false" ht="14.4" hidden="false" customHeight="false" outlineLevel="0" collapsed="false">
      <c r="B43" s="63" t="s">
        <v>156</v>
      </c>
      <c r="C43" s="35" t="n">
        <v>1927.6</v>
      </c>
      <c r="D43" s="35" t="n">
        <v>1919.7</v>
      </c>
      <c r="E43" s="52" t="n">
        <v>1934.3</v>
      </c>
      <c r="F43" s="52" t="n">
        <v>1927.5</v>
      </c>
      <c r="G43" s="52" t="n">
        <v>2051.9</v>
      </c>
      <c r="H43" s="52" t="n">
        <v>2156.7</v>
      </c>
      <c r="I43" s="52" t="n">
        <v>2230</v>
      </c>
      <c r="J43" s="52" t="n">
        <v>2063</v>
      </c>
      <c r="K43" s="52" t="n">
        <v>2305</v>
      </c>
      <c r="L43" s="52" t="n">
        <v>2668</v>
      </c>
      <c r="M43" s="38" t="n">
        <f aca="false">'Working Capital Schedule'!M12</f>
        <v>2810.42675205479</v>
      </c>
      <c r="N43" s="38" t="n">
        <f aca="false">'Working Capital Schedule'!N12</f>
        <v>3051.99248060274</v>
      </c>
      <c r="O43" s="38" t="n">
        <f aca="false">'Working Capital Schedule'!O12</f>
        <v>3162.71472260986</v>
      </c>
      <c r="P43" s="38" t="n">
        <f aca="false">'Working Capital Schedule'!P12</f>
        <v>3424.8749127955</v>
      </c>
    </row>
    <row r="44" customFormat="false" ht="14.4" hidden="false" customHeight="false" outlineLevel="0" collapsed="false">
      <c r="B44" s="63" t="s">
        <v>157</v>
      </c>
      <c r="C44" s="35" t="n">
        <v>780.8</v>
      </c>
      <c r="D44" s="35" t="n">
        <v>849.2</v>
      </c>
      <c r="E44" s="52" t="n">
        <v>504.1</v>
      </c>
      <c r="F44" s="52" t="n">
        <v>585.8</v>
      </c>
      <c r="G44" s="52" t="n">
        <v>480.000000000001</v>
      </c>
      <c r="H44" s="52" t="n">
        <v>350.7</v>
      </c>
      <c r="I44" s="52" t="n">
        <v>431.5</v>
      </c>
      <c r="J44" s="52" t="n">
        <v>390</v>
      </c>
      <c r="K44" s="52" t="n">
        <v>584</v>
      </c>
      <c r="L44" s="52" t="n">
        <v>1152</v>
      </c>
      <c r="M44" s="38" t="n">
        <f aca="false">L44*(1+Assumptions!E27)</f>
        <v>1215.36</v>
      </c>
      <c r="N44" s="38" t="n">
        <f aca="false">M44*(1+Assumptions!F27)</f>
        <v>1282.2048</v>
      </c>
      <c r="O44" s="38" t="n">
        <f aca="false">N44*(1+Assumptions!G27)</f>
        <v>1352.726064</v>
      </c>
      <c r="P44" s="38" t="n">
        <f aca="false">O44*(1+Assumptions!H27)</f>
        <v>1427.12599752</v>
      </c>
    </row>
    <row r="45" customFormat="false" ht="14.4" hidden="false" customHeight="false" outlineLevel="0" collapsed="false">
      <c r="B45" s="64" t="s">
        <v>158</v>
      </c>
      <c r="C45" s="35" t="n">
        <v>87.3</v>
      </c>
      <c r="D45" s="35" t="n">
        <v>256.1</v>
      </c>
      <c r="E45" s="52" t="n">
        <v>282.9</v>
      </c>
      <c r="F45" s="52" t="n">
        <v>73.5</v>
      </c>
      <c r="G45" s="52" t="n">
        <v>83.9</v>
      </c>
      <c r="H45" s="52" t="n">
        <v>282.4</v>
      </c>
      <c r="I45" s="52" t="n">
        <v>1139.1</v>
      </c>
      <c r="J45" s="52" t="n">
        <v>1868</v>
      </c>
      <c r="K45" s="52" t="n">
        <v>2903</v>
      </c>
      <c r="L45" s="52" t="n">
        <v>3134</v>
      </c>
      <c r="M45" s="52" t="n">
        <f aca="false">CS!M22</f>
        <v>3238.10196395269</v>
      </c>
      <c r="N45" s="52" t="n">
        <f aca="false">CS!N22</f>
        <v>3738.48430240199</v>
      </c>
      <c r="O45" s="52" t="n">
        <f aca="false">CS!O22</f>
        <v>4176.58057148318</v>
      </c>
      <c r="P45" s="52" t="n">
        <f aca="false">CS!P22</f>
        <v>4810.55235028101</v>
      </c>
    </row>
    <row r="46" customFormat="false" ht="14.4" hidden="false" customHeight="false" outlineLevel="0" collapsed="false">
      <c r="B46" s="64" t="s">
        <v>159</v>
      </c>
      <c r="C46" s="39" t="n">
        <f aca="false">SUM(C42:C45)</f>
        <v>5749.1</v>
      </c>
      <c r="D46" s="39" t="n">
        <f aca="false">SUM(D42:D45)</f>
        <v>5736.2</v>
      </c>
      <c r="E46" s="39" t="n">
        <f aca="false">SUM(E42:E45)</f>
        <v>5263.8</v>
      </c>
      <c r="F46" s="39" t="n">
        <f aca="false">SUM(F42:F45)</f>
        <v>4870.3</v>
      </c>
      <c r="G46" s="39" t="n">
        <f aca="false">SUM(G42:G45)</f>
        <v>4803</v>
      </c>
      <c r="H46" s="39" t="n">
        <f aca="false">SUM(H42:H45)</f>
        <v>5163.4</v>
      </c>
      <c r="I46" s="39" t="n">
        <f aca="false">SUM(I42:I45)</f>
        <v>6234.6</v>
      </c>
      <c r="J46" s="39" t="n">
        <f aca="false">SUM(J42:J45)</f>
        <v>7377</v>
      </c>
      <c r="K46" s="39" t="n">
        <f aca="false">SUM(K42:K45)</f>
        <v>9202</v>
      </c>
      <c r="L46" s="39" t="n">
        <f aca="false">SUM(L42:L45)</f>
        <v>10563</v>
      </c>
      <c r="M46" s="39" t="n">
        <f aca="false">SUM(M42:M45)</f>
        <v>10877.5512365554</v>
      </c>
      <c r="N46" s="39" t="n">
        <f aca="false">SUM(N42:N45)</f>
        <v>12259.4945846486</v>
      </c>
      <c r="O46" s="39" t="n">
        <f aca="false">SUM(O42:O45)</f>
        <v>12851.7171651944</v>
      </c>
      <c r="P46" s="39" t="n">
        <f aca="false">SUM(P42:P45)</f>
        <v>14433.6218788525</v>
      </c>
    </row>
    <row r="48" customFormat="false" ht="14.4" hidden="false" customHeight="false" outlineLevel="0" collapsed="false">
      <c r="B48" s="46" t="s">
        <v>160</v>
      </c>
      <c r="C48" s="39" t="n">
        <f aca="false">C39+C46</f>
        <v>8895.9</v>
      </c>
      <c r="D48" s="39" t="n">
        <f aca="false">D39+D46</f>
        <v>8956.3</v>
      </c>
      <c r="E48" s="39" t="n">
        <f aca="false">E39+E46</f>
        <v>9108.9</v>
      </c>
      <c r="F48" s="39" t="n">
        <f aca="false">F39+F46</f>
        <v>8851.3</v>
      </c>
      <c r="G48" s="39" t="n">
        <f aca="false">G39+G46</f>
        <v>8537</v>
      </c>
      <c r="H48" s="39" t="n">
        <f aca="false">H39+H46</f>
        <v>8911.3</v>
      </c>
      <c r="I48" s="39" t="n">
        <f aca="false">I39+I46</f>
        <v>9761.5</v>
      </c>
      <c r="J48" s="39" t="n">
        <f aca="false">J39+J46</f>
        <v>11249</v>
      </c>
      <c r="K48" s="39" t="n">
        <f aca="false">K39+K46</f>
        <v>13248</v>
      </c>
      <c r="L48" s="39" t="n">
        <f aca="false">L39+L46</f>
        <v>14469</v>
      </c>
      <c r="M48" s="39" t="n">
        <f aca="false">M39+M46</f>
        <v>14947.7471294126</v>
      </c>
      <c r="N48" s="39" t="n">
        <f aca="false">N39+N46</f>
        <v>16483.1455743628</v>
      </c>
      <c r="O48" s="39" t="n">
        <f aca="false">O39+O46</f>
        <v>17209.1456110516</v>
      </c>
      <c r="P48" s="39" t="n">
        <f aca="false">P39+P46</f>
        <v>18903.5594229954</v>
      </c>
    </row>
    <row r="51" customFormat="false" ht="14.4" hidden="false" customHeight="false" outlineLevel="0" collapsed="false">
      <c r="B51" s="0" t="s">
        <v>161</v>
      </c>
      <c r="C51" s="35" t="n">
        <f aca="false">C48-C27</f>
        <v>0</v>
      </c>
      <c r="D51" s="35" t="n">
        <f aca="false">D48-D27</f>
        <v>0</v>
      </c>
      <c r="E51" s="35" t="n">
        <f aca="false">E48-E27</f>
        <v>0</v>
      </c>
      <c r="F51" s="35" t="n">
        <f aca="false">F48-F27</f>
        <v>0</v>
      </c>
      <c r="G51" s="35" t="n">
        <f aca="false">G48-G27</f>
        <v>0</v>
      </c>
      <c r="H51" s="35" t="n">
        <f aca="false">H48-H27</f>
        <v>0</v>
      </c>
      <c r="I51" s="35" t="n">
        <f aca="false">I48-I27</f>
        <v>0</v>
      </c>
      <c r="J51" s="35" t="n">
        <f aca="false">J48-J27</f>
        <v>0</v>
      </c>
      <c r="K51" s="35" t="n">
        <f aca="false">K48-K27</f>
        <v>0</v>
      </c>
      <c r="L51" s="35" t="n">
        <f aca="false">L48-L27</f>
        <v>0</v>
      </c>
      <c r="M51" s="35" t="n">
        <f aca="false">M48-M27</f>
        <v>0</v>
      </c>
      <c r="N51" s="35" t="n">
        <f aca="false">N48-N27</f>
        <v>0</v>
      </c>
      <c r="O51" s="35" t="n">
        <f aca="false">O48-O27</f>
        <v>0</v>
      </c>
      <c r="P51" s="35" t="n">
        <f aca="false">P48-P27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R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875" defaultRowHeight="14.4" zeroHeight="false" outlineLevelRow="0" outlineLevelCol="0"/>
  <cols>
    <col collapsed="false" customWidth="true" hidden="false" outlineLevel="0" max="1" min="1" style="0" width="2.77"/>
    <col collapsed="false" customWidth="true" hidden="false" outlineLevel="0" max="2" min="2" style="0" width="50.78"/>
    <col collapsed="false" customWidth="true" hidden="false" outlineLevel="0" max="16" min="3" style="35" width="10.77"/>
  </cols>
  <sheetData>
    <row r="2" customFormat="false" ht="21" hidden="false" customHeight="true" outlineLevel="0" collapsed="false">
      <c r="B2" s="61" t="s">
        <v>162</v>
      </c>
    </row>
    <row r="4" customFormat="false" ht="14.4" hidden="false" customHeight="false" outlineLevel="0" collapsed="false">
      <c r="B4" s="8" t="s">
        <v>64</v>
      </c>
      <c r="C4" s="36" t="n">
        <v>2017</v>
      </c>
      <c r="D4" s="36" t="n">
        <f aca="false">C4+1</f>
        <v>2018</v>
      </c>
      <c r="E4" s="36" t="n">
        <f aca="false">D4+1</f>
        <v>2019</v>
      </c>
      <c r="F4" s="36" t="n">
        <f aca="false">E4+1</f>
        <v>2020</v>
      </c>
      <c r="G4" s="36" t="n">
        <f aca="false">F4+1</f>
        <v>2021</v>
      </c>
      <c r="H4" s="36" t="n">
        <f aca="false">G4+1</f>
        <v>2022</v>
      </c>
      <c r="I4" s="36" t="n">
        <f aca="false">H4+1</f>
        <v>2023</v>
      </c>
      <c r="J4" s="36" t="n">
        <f aca="false">I4+1</f>
        <v>2024</v>
      </c>
      <c r="K4" s="36" t="n">
        <f aca="false">J4+1</f>
        <v>2025</v>
      </c>
      <c r="L4" s="36" t="n">
        <f aca="false">K4+1</f>
        <v>2026</v>
      </c>
      <c r="M4" s="37" t="n">
        <f aca="false">L4+1</f>
        <v>2027</v>
      </c>
      <c r="N4" s="37" t="n">
        <f aca="false">M4+1</f>
        <v>2028</v>
      </c>
      <c r="O4" s="37" t="n">
        <f aca="false">N4+1</f>
        <v>2029</v>
      </c>
      <c r="P4" s="37" t="n">
        <f aca="false">O4+1</f>
        <v>2030</v>
      </c>
    </row>
    <row r="6" customFormat="false" ht="14.4" hidden="false" customHeight="false" outlineLevel="0" collapsed="false">
      <c r="A6" s="0" t="s">
        <v>109</v>
      </c>
      <c r="B6" s="8" t="s">
        <v>163</v>
      </c>
      <c r="C6" s="65" t="n">
        <f aca="false">PL!C28</f>
        <v>93.0000000000001</v>
      </c>
      <c r="D6" s="65" t="n">
        <f aca="false">PL!D28</f>
        <v>651.9</v>
      </c>
      <c r="E6" s="65" t="n">
        <f aca="false">PL!E28</f>
        <v>683.6</v>
      </c>
      <c r="F6" s="65" t="n">
        <f aca="false">PL!F28</f>
        <v>620.6</v>
      </c>
      <c r="G6" s="65" t="n">
        <f aca="false">PL!G28</f>
        <v>362.1</v>
      </c>
      <c r="H6" s="65" t="n">
        <f aca="false">PL!H28</f>
        <v>810.6</v>
      </c>
      <c r="I6" s="65" t="n">
        <f aca="false">PL!I28</f>
        <v>1125.8</v>
      </c>
      <c r="J6" s="65" t="n">
        <f aca="false">PL!J28</f>
        <v>1408</v>
      </c>
      <c r="K6" s="65" t="n">
        <f aca="false">PL!K28</f>
        <v>1582</v>
      </c>
      <c r="L6" s="65" t="n">
        <f aca="false">PL!L28</f>
        <v>1838</v>
      </c>
      <c r="M6" s="65" t="n">
        <f aca="false">PL!M28</f>
        <v>1846.99391229214</v>
      </c>
      <c r="N6" s="65" t="n">
        <f aca="false">PL!N28</f>
        <v>2023.58831208677</v>
      </c>
      <c r="O6" s="65" t="n">
        <f aca="false">PL!O28</f>
        <v>2216.22032353455</v>
      </c>
      <c r="P6" s="65" t="n">
        <f aca="false">PL!P28</f>
        <v>2421.90467514522</v>
      </c>
    </row>
    <row r="7" customFormat="false" ht="14.4" hidden="false" customHeight="false" outlineLevel="0" collapsed="false">
      <c r="B7" s="0" t="s">
        <v>164</v>
      </c>
      <c r="C7" s="38" t="n">
        <f aca="false">-PL!C16</f>
        <v>188.6</v>
      </c>
      <c r="D7" s="38" t="n">
        <f aca="false">-PL!D16</f>
        <v>192.3</v>
      </c>
      <c r="E7" s="38" t="n">
        <f aca="false">-PL!E16</f>
        <v>214.7</v>
      </c>
      <c r="F7" s="38" t="n">
        <f aca="false">-PL!F16</f>
        <v>285.3</v>
      </c>
      <c r="G7" s="38" t="n">
        <f aca="false">-PL!G16</f>
        <v>299.1</v>
      </c>
      <c r="H7" s="38" t="n">
        <f aca="false">-PL!H16</f>
        <v>303.8</v>
      </c>
      <c r="I7" s="38" t="n">
        <f aca="false">-PL!I16</f>
        <v>283</v>
      </c>
      <c r="J7" s="38" t="n">
        <f aca="false">-PL!J16</f>
        <v>275</v>
      </c>
      <c r="K7" s="38" t="n">
        <f aca="false">-PL!K16</f>
        <v>283</v>
      </c>
      <c r="L7" s="38" t="n">
        <f aca="false">-PL!L16</f>
        <v>289</v>
      </c>
      <c r="M7" s="38" t="n">
        <f aca="false">-PL!M16</f>
        <v>196.162907142857</v>
      </c>
      <c r="N7" s="38" t="n">
        <f aca="false">-PL!N16</f>
        <v>239.188903142857</v>
      </c>
      <c r="O7" s="38" t="n">
        <f aca="false">-PL!O16</f>
        <v>285.099543857143</v>
      </c>
      <c r="P7" s="38" t="n">
        <f aca="false">-PL!P16</f>
        <v>334.043901714286</v>
      </c>
      <c r="R7" s="0" t="s">
        <v>165</v>
      </c>
    </row>
    <row r="8" customFormat="false" ht="14.4" hidden="false" customHeight="false" outlineLevel="0" collapsed="false">
      <c r="B8" s="66" t="s">
        <v>166</v>
      </c>
      <c r="C8" s="52" t="n">
        <v>227.2</v>
      </c>
      <c r="D8" s="52" t="n">
        <v>358.900000000002</v>
      </c>
      <c r="E8" s="52" t="n">
        <v>103.899999999999</v>
      </c>
      <c r="F8" s="52" t="n">
        <v>3.00000000000085</v>
      </c>
      <c r="G8" s="52" t="n">
        <v>1752.2</v>
      </c>
      <c r="H8" s="52" t="n">
        <v>611.500000000001</v>
      </c>
      <c r="I8" s="52" t="n">
        <v>-468.8</v>
      </c>
      <c r="J8" s="52" t="n">
        <v>-431.9</v>
      </c>
      <c r="K8" s="52" t="n">
        <v>94.5999999999999</v>
      </c>
      <c r="L8" s="52" t="n">
        <v>-37</v>
      </c>
      <c r="M8" s="35" t="n">
        <f aca="false">-PL!M22-PL!M21</f>
        <v>-111.497306</v>
      </c>
      <c r="N8" s="35" t="n">
        <f aca="false">-PL!N22-PL!N21</f>
        <v>-112.815807656925</v>
      </c>
      <c r="O8" s="35" t="n">
        <f aca="false">-PL!O22-PL!O21</f>
        <v>-139.337355816129</v>
      </c>
      <c r="P8" s="35" t="n">
        <f aca="false">-PL!P22-PL!P21</f>
        <v>-161.463298047606</v>
      </c>
    </row>
    <row r="9" customFormat="false" ht="14.4" hidden="false" customHeight="false" outlineLevel="0" collapsed="false">
      <c r="B9" s="66" t="s">
        <v>167</v>
      </c>
      <c r="C9" s="52" t="n">
        <v>138</v>
      </c>
      <c r="D9" s="38" t="n">
        <f aca="false">-'Working Capital Schedule'!D21</f>
        <v>-278.000000000002</v>
      </c>
      <c r="E9" s="38" t="n">
        <f aca="false">-'Working Capital Schedule'!E21</f>
        <v>-53.8999999999978</v>
      </c>
      <c r="F9" s="38" t="n">
        <f aca="false">-'Working Capital Schedule'!F21</f>
        <v>-125.700000000002</v>
      </c>
      <c r="G9" s="38" t="n">
        <f aca="false">-'Working Capital Schedule'!G21</f>
        <v>-595.700000000001</v>
      </c>
      <c r="H9" s="38" t="n">
        <f aca="false">-'Working Capital Schedule'!H21</f>
        <v>-748.499999999999</v>
      </c>
      <c r="I9" s="38" t="n">
        <f aca="false">-'Working Capital Schedule'!I21</f>
        <v>-324.8</v>
      </c>
      <c r="J9" s="38" t="n">
        <f aca="false">-'Working Capital Schedule'!J21</f>
        <v>-133.1</v>
      </c>
      <c r="K9" s="38" t="n">
        <f aca="false">-'Working Capital Schedule'!K21</f>
        <v>-12.5999999999999</v>
      </c>
      <c r="L9" s="38" t="n">
        <f aca="false">-'Working Capital Schedule'!L21</f>
        <v>-631</v>
      </c>
      <c r="M9" s="38" t="n">
        <f aca="false">-'Working Capital Schedule'!M21</f>
        <v>-401.802934246575</v>
      </c>
      <c r="N9" s="38" t="n">
        <f aca="false">-'Working Capital Schedule'!N21</f>
        <v>-82.5451076821928</v>
      </c>
      <c r="O9" s="38" t="n">
        <f aca="false">-'Working Capital Schedule'!O21</f>
        <v>-232.134789542355</v>
      </c>
      <c r="P9" s="38" t="n">
        <f aca="false">-'Working Capital Schedule'!P21</f>
        <v>-129.511040274369</v>
      </c>
    </row>
    <row r="10" customFormat="false" ht="14.4" hidden="false" customHeight="false" outlineLevel="0" collapsed="false">
      <c r="A10" s="0" t="s">
        <v>109</v>
      </c>
      <c r="B10" s="8" t="s">
        <v>168</v>
      </c>
      <c r="C10" s="39" t="n">
        <f aca="false">SUM(C6:C9)</f>
        <v>646.8</v>
      </c>
      <c r="D10" s="39" t="n">
        <f aca="false">SUM(D6:D9)</f>
        <v>925.1</v>
      </c>
      <c r="E10" s="39" t="n">
        <f aca="false">SUM(E6:E9)</f>
        <v>948.300000000001</v>
      </c>
      <c r="F10" s="39" t="n">
        <f aca="false">SUM(F6:F9)</f>
        <v>783.199999999999</v>
      </c>
      <c r="G10" s="39" t="n">
        <f aca="false">SUM(G6:G9)</f>
        <v>1817.7</v>
      </c>
      <c r="H10" s="39" t="n">
        <f aca="false">SUM(H6:H9)</f>
        <v>977.400000000002</v>
      </c>
      <c r="I10" s="39" t="n">
        <f aca="false">SUM(I6:I9)</f>
        <v>615.2</v>
      </c>
      <c r="J10" s="39" t="n">
        <f aca="false">SUM(J6:J9)</f>
        <v>1118</v>
      </c>
      <c r="K10" s="39" t="n">
        <f aca="false">SUM(K6:K9)</f>
        <v>1947</v>
      </c>
      <c r="L10" s="39" t="n">
        <f aca="false">SUM(L6:L9)</f>
        <v>1459</v>
      </c>
      <c r="M10" s="39" t="n">
        <f aca="false">SUM(M6:M9)</f>
        <v>1529.85657918842</v>
      </c>
      <c r="N10" s="39" t="n">
        <f aca="false">SUM(N6:N9)</f>
        <v>2067.41629989051</v>
      </c>
      <c r="O10" s="39" t="n">
        <f aca="false">SUM(O6:O9)</f>
        <v>2129.84772203321</v>
      </c>
      <c r="P10" s="39" t="n">
        <f aca="false">SUM(P6:P9)</f>
        <v>2464.97423853753</v>
      </c>
    </row>
    <row r="11" customFormat="false" ht="14.4" hidden="false" customHeight="false" outlineLevel="0" collapsed="false">
      <c r="B11" s="0" t="s">
        <v>122</v>
      </c>
      <c r="C11" s="35" t="n">
        <v>19.7</v>
      </c>
      <c r="D11" s="35" t="n">
        <v>4.2</v>
      </c>
      <c r="E11" s="35" t="n">
        <v>6.4</v>
      </c>
      <c r="F11" s="35" t="n">
        <v>6.2</v>
      </c>
      <c r="G11" s="35" t="n">
        <v>11.1</v>
      </c>
      <c r="H11" s="35" t="n">
        <v>6.4</v>
      </c>
      <c r="I11" s="35" t="n">
        <v>20.4</v>
      </c>
      <c r="J11" s="35" t="n">
        <v>42</v>
      </c>
      <c r="K11" s="35" t="n">
        <v>36</v>
      </c>
      <c r="L11" s="35" t="n">
        <v>67</v>
      </c>
      <c r="M11" s="35" t="n">
        <f aca="false">M21*Assumptions!E9</f>
        <v>203.71</v>
      </c>
      <c r="N11" s="35" t="n">
        <f aca="false">N21*Assumptions!F9</f>
        <v>210.476627656925</v>
      </c>
      <c r="O11" s="35" t="n">
        <f aca="false">O21*Assumptions!G9</f>
        <v>243.001479656129</v>
      </c>
      <c r="P11" s="35" t="n">
        <f aca="false">P21*Assumptions!H9</f>
        <v>271.477737146406</v>
      </c>
    </row>
    <row r="12" customFormat="false" ht="14.4" hidden="false" customHeight="false" outlineLevel="0" collapsed="false">
      <c r="B12" s="0" t="s">
        <v>169</v>
      </c>
      <c r="C12" s="35" t="n">
        <v>-311</v>
      </c>
      <c r="D12" s="35" t="n">
        <v>-184.3</v>
      </c>
      <c r="E12" s="35" t="n">
        <v>-173</v>
      </c>
      <c r="F12" s="35" t="n">
        <v>-211.6</v>
      </c>
      <c r="G12" s="35" t="n">
        <v>-158.9</v>
      </c>
      <c r="H12" s="35" t="n">
        <v>-134</v>
      </c>
      <c r="I12" s="35" t="n">
        <v>-136.6</v>
      </c>
      <c r="J12" s="35" t="n">
        <v>-98</v>
      </c>
      <c r="K12" s="35" t="n">
        <v>-162</v>
      </c>
      <c r="L12" s="35" t="n">
        <v>-181</v>
      </c>
      <c r="M12" s="35" t="n">
        <f aca="false">-'Working Schedules'!H42</f>
        <v>-145.686</v>
      </c>
      <c r="N12" s="35" t="n">
        <f aca="false">-'Working Schedules'!I42</f>
        <v>-159.18</v>
      </c>
      <c r="O12" s="35" t="n">
        <f aca="false">-'Working Schedules'!J42</f>
        <v>-169.815</v>
      </c>
      <c r="P12" s="35" t="n">
        <f aca="false">-'Working Schedules'!K42</f>
        <v>-181.035</v>
      </c>
    </row>
    <row r="13" customFormat="false" ht="14.4" hidden="false" customHeight="false" outlineLevel="0" collapsed="false">
      <c r="B13" s="0" t="s">
        <v>170</v>
      </c>
      <c r="C13" s="35" t="n">
        <v>64</v>
      </c>
      <c r="D13" s="35" t="n">
        <v>284</v>
      </c>
      <c r="E13" s="35" t="n">
        <v>128</v>
      </c>
      <c r="F13" s="35" t="n">
        <v>12</v>
      </c>
      <c r="G13" s="35" t="n">
        <v>35</v>
      </c>
      <c r="H13" s="35" t="n">
        <v>-176</v>
      </c>
      <c r="I13" s="35" t="n">
        <v>12</v>
      </c>
      <c r="J13" s="35" t="n">
        <v>-262</v>
      </c>
      <c r="K13" s="35" t="n">
        <v>-227</v>
      </c>
      <c r="L13" s="35" t="n">
        <v>75</v>
      </c>
      <c r="M13" s="35" t="n">
        <v>0</v>
      </c>
      <c r="N13" s="35" t="n">
        <v>0</v>
      </c>
      <c r="O13" s="35" t="n">
        <v>0</v>
      </c>
      <c r="P13" s="35" t="n">
        <v>0</v>
      </c>
    </row>
    <row r="14" customFormat="false" ht="14.4" hidden="false" customHeight="false" outlineLevel="0" collapsed="false">
      <c r="B14" s="8" t="s">
        <v>171</v>
      </c>
      <c r="C14" s="39" t="n">
        <f aca="false">SUM(C11:C13)</f>
        <v>-227.3</v>
      </c>
      <c r="D14" s="39" t="n">
        <f aca="false">SUM(D11:D13)</f>
        <v>103.9</v>
      </c>
      <c r="E14" s="39" t="n">
        <f aca="false">SUM(E11:E13)</f>
        <v>-38.6</v>
      </c>
      <c r="F14" s="39" t="n">
        <f aca="false">SUM(F11:F13)</f>
        <v>-193.4</v>
      </c>
      <c r="G14" s="39" t="n">
        <f aca="false">SUM(G11:G13)</f>
        <v>-112.8</v>
      </c>
      <c r="H14" s="39" t="n">
        <f aca="false">SUM(H11:H13)</f>
        <v>-303.6</v>
      </c>
      <c r="I14" s="39" t="n">
        <f aca="false">SUM(I11:I13)</f>
        <v>-104.2</v>
      </c>
      <c r="J14" s="39" t="n">
        <f aca="false">SUM(J11:J13)</f>
        <v>-318</v>
      </c>
      <c r="K14" s="39" t="n">
        <f aca="false">SUM(K11:K13)</f>
        <v>-353</v>
      </c>
      <c r="L14" s="39" t="n">
        <f aca="false">SUM(L11:L13)</f>
        <v>-39</v>
      </c>
      <c r="M14" s="39" t="n">
        <f aca="false">SUM(M11:M13)</f>
        <v>58.024</v>
      </c>
      <c r="N14" s="39" t="n">
        <f aca="false">SUM(N11:N13)</f>
        <v>51.2966276569247</v>
      </c>
      <c r="O14" s="39" t="n">
        <f aca="false">SUM(O11:O13)</f>
        <v>73.1864796561291</v>
      </c>
      <c r="P14" s="39" t="n">
        <f aca="false">SUM(P11:P13)</f>
        <v>90.4427371464064</v>
      </c>
    </row>
    <row r="15" customFormat="false" ht="14.4" hidden="false" customHeight="false" outlineLevel="0" collapsed="false">
      <c r="B15" s="0" t="s">
        <v>172</v>
      </c>
      <c r="C15" s="35" t="n">
        <v>-8.6</v>
      </c>
      <c r="D15" s="35" t="n">
        <v>0</v>
      </c>
      <c r="E15" s="35" t="n">
        <v>0</v>
      </c>
      <c r="F15" s="35" t="n">
        <v>-64.5</v>
      </c>
      <c r="G15" s="35" t="n">
        <v>-80.7</v>
      </c>
      <c r="H15" s="35" t="n">
        <v>-100.2</v>
      </c>
      <c r="I15" s="35" t="n">
        <v>-124</v>
      </c>
      <c r="J15" s="35" t="n">
        <v>-126</v>
      </c>
      <c r="K15" s="35" t="n">
        <v>-137</v>
      </c>
      <c r="L15" s="35" t="n">
        <v>-144</v>
      </c>
      <c r="M15" s="35" t="n">
        <f aca="false">'Working Schedules'!H9</f>
        <v>-154.08</v>
      </c>
      <c r="N15" s="35" t="n">
        <f aca="false">'Working Schedules'!I9</f>
        <v>-164.8656</v>
      </c>
      <c r="O15" s="35" t="n">
        <f aca="false">'Working Schedules'!J9</f>
        <v>-176.406192</v>
      </c>
      <c r="P15" s="35" t="n">
        <f aca="false">'Working Schedules'!K9</f>
        <v>-188.75462544</v>
      </c>
    </row>
    <row r="16" customFormat="false" ht="14.4" hidden="false" customHeight="false" outlineLevel="0" collapsed="false">
      <c r="B16" s="0" t="s">
        <v>121</v>
      </c>
      <c r="C16" s="35" t="n">
        <v>-375.2</v>
      </c>
      <c r="D16" s="35" t="n">
        <v>-252.8</v>
      </c>
      <c r="E16" s="35" t="n">
        <v>-229.3</v>
      </c>
      <c r="F16" s="35" t="n">
        <v>-181.1</v>
      </c>
      <c r="G16" s="35" t="n">
        <v>-142</v>
      </c>
      <c r="H16" s="35" t="n">
        <v>-50.1</v>
      </c>
      <c r="I16" s="35" t="n">
        <v>-36.3</v>
      </c>
      <c r="J16" s="35" t="n">
        <v>-21</v>
      </c>
      <c r="K16" s="35" t="n">
        <v>-40</v>
      </c>
      <c r="L16" s="35" t="n">
        <v>-37</v>
      </c>
      <c r="M16" s="35" t="n">
        <f aca="false">PL!M21</f>
        <v>-92.212694</v>
      </c>
      <c r="N16" s="35" t="n">
        <f aca="false">PL!N21</f>
        <v>-97.66082</v>
      </c>
      <c r="O16" s="35" t="n">
        <f aca="false">PL!O21</f>
        <v>-103.66412384</v>
      </c>
      <c r="P16" s="35" t="n">
        <f aca="false">PL!P21</f>
        <v>-110.0144390988</v>
      </c>
    </row>
    <row r="17" customFormat="false" ht="14.4" hidden="false" customHeight="false" outlineLevel="0" collapsed="false">
      <c r="B17" s="0" t="s">
        <v>173</v>
      </c>
      <c r="C17" s="35" t="n">
        <v>0</v>
      </c>
      <c r="D17" s="35" t="n">
        <v>0</v>
      </c>
      <c r="E17" s="35" t="n">
        <v>0</v>
      </c>
      <c r="F17" s="35" t="n">
        <v>0</v>
      </c>
      <c r="G17" s="35" t="n">
        <v>0</v>
      </c>
      <c r="H17" s="35" t="n">
        <v>0</v>
      </c>
      <c r="I17" s="35" t="n">
        <v>0</v>
      </c>
      <c r="J17" s="35" t="n">
        <v>-284</v>
      </c>
      <c r="K17" s="35" t="n">
        <v>-355</v>
      </c>
      <c r="L17" s="35" t="n">
        <v>-1263</v>
      </c>
      <c r="M17" s="35" t="n">
        <f aca="false">-Assumptions!E11*PL!M28</f>
        <v>-1237.48592123573</v>
      </c>
      <c r="N17" s="35" t="n">
        <f aca="false">-Assumptions!F11*PL!N28</f>
        <v>-1355.80416909814</v>
      </c>
      <c r="O17" s="35" t="n">
        <f aca="false">-Assumptions!G11*PL!O28</f>
        <v>-1484.86761676815</v>
      </c>
      <c r="P17" s="35" t="n">
        <f aca="false">-Assumptions!H11*PL!P28</f>
        <v>-1622.6761323473</v>
      </c>
    </row>
    <row r="18" customFormat="false" ht="14.4" hidden="false" customHeight="false" outlineLevel="0" collapsed="false">
      <c r="B18" s="0" t="s">
        <v>170</v>
      </c>
      <c r="C18" s="35" t="n">
        <v>-86.4</v>
      </c>
      <c r="D18" s="35" t="n">
        <v>-607.4</v>
      </c>
      <c r="E18" s="35" t="n">
        <v>-653.6</v>
      </c>
      <c r="F18" s="35" t="n">
        <v>-553.6</v>
      </c>
      <c r="G18" s="35" t="n">
        <v>-1471.8</v>
      </c>
      <c r="H18" s="35" t="n">
        <v>-324.9</v>
      </c>
      <c r="I18" s="35" t="n">
        <v>505.9</v>
      </c>
      <c r="J18" s="35" t="n">
        <v>359.9</v>
      </c>
      <c r="K18" s="35" t="n">
        <v>-27</v>
      </c>
      <c r="L18" s="35" t="n">
        <v>255</v>
      </c>
      <c r="M18" s="35" t="n">
        <v>0</v>
      </c>
      <c r="N18" s="35" t="n">
        <v>0</v>
      </c>
      <c r="O18" s="35" t="n">
        <v>0</v>
      </c>
      <c r="P18" s="35" t="n">
        <v>0</v>
      </c>
    </row>
    <row r="19" customFormat="false" ht="14.4" hidden="false" customHeight="false" outlineLevel="0" collapsed="false">
      <c r="B19" s="8" t="s">
        <v>174</v>
      </c>
      <c r="C19" s="39" t="n">
        <f aca="false">SUM(C15:C18)</f>
        <v>-470.2</v>
      </c>
      <c r="D19" s="39" t="n">
        <f aca="false">SUM(D15:D18)</f>
        <v>-860.2</v>
      </c>
      <c r="E19" s="39" t="n">
        <f aca="false">SUM(E15:E18)</f>
        <v>-882.9</v>
      </c>
      <c r="F19" s="39" t="n">
        <f aca="false">SUM(F15:F18)</f>
        <v>-799.2</v>
      </c>
      <c r="G19" s="39" t="n">
        <f aca="false">SUM(G15:G18)</f>
        <v>-1694.5</v>
      </c>
      <c r="H19" s="39" t="n">
        <f aca="false">SUM(H15:H18)</f>
        <v>-475.2</v>
      </c>
      <c r="I19" s="39" t="n">
        <f aca="false">SUM(I15:I18)</f>
        <v>345.6</v>
      </c>
      <c r="J19" s="39" t="n">
        <f aca="false">SUM(J15:J18)</f>
        <v>-71.1</v>
      </c>
      <c r="K19" s="39" t="n">
        <f aca="false">SUM(K15:K18)</f>
        <v>-559</v>
      </c>
      <c r="L19" s="39" t="n">
        <f aca="false">SUM(L15:L18)</f>
        <v>-1189</v>
      </c>
      <c r="M19" s="39" t="n">
        <f aca="false">SUM(M15:M18)</f>
        <v>-1483.77861523573</v>
      </c>
      <c r="N19" s="39" t="n">
        <f aca="false">SUM(N15:N18)</f>
        <v>-1618.33058909814</v>
      </c>
      <c r="O19" s="39" t="n">
        <f aca="false">SUM(O15:O18)</f>
        <v>-1764.93793260815</v>
      </c>
      <c r="P19" s="39" t="n">
        <f aca="false">SUM(P15:P18)</f>
        <v>-1921.4451968861</v>
      </c>
    </row>
    <row r="20" customFormat="false" ht="14.4" hidden="false" customHeight="false" outlineLevel="0" collapsed="false">
      <c r="A20" s="0" t="s">
        <v>109</v>
      </c>
      <c r="B20" s="8" t="s">
        <v>175</v>
      </c>
      <c r="C20" s="39" t="n">
        <f aca="false">C10+C14+C19</f>
        <v>-50.6999999999999</v>
      </c>
      <c r="D20" s="39" t="n">
        <f aca="false">D10+D14+D19</f>
        <v>168.8</v>
      </c>
      <c r="E20" s="39" t="n">
        <f aca="false">E10+E14+E19</f>
        <v>26.8000000000006</v>
      </c>
      <c r="F20" s="39" t="n">
        <f aca="false">F10+F14+F19</f>
        <v>-209.400000000001</v>
      </c>
      <c r="G20" s="39" t="n">
        <f aca="false">G10+G14+G19</f>
        <v>10.3999999999983</v>
      </c>
      <c r="H20" s="39" t="n">
        <f aca="false">H10+H14+H19</f>
        <v>198.600000000002</v>
      </c>
      <c r="I20" s="39" t="n">
        <f aca="false">I10+I14+I19</f>
        <v>856.6</v>
      </c>
      <c r="J20" s="39" t="n">
        <f aca="false">J10+J14+J19</f>
        <v>728.9</v>
      </c>
      <c r="K20" s="39" t="n">
        <f aca="false">K10+K14+K19</f>
        <v>1035</v>
      </c>
      <c r="L20" s="39" t="n">
        <f aca="false">L10+L14+L19</f>
        <v>231</v>
      </c>
      <c r="M20" s="39" t="n">
        <f aca="false">M10+M14+M19</f>
        <v>104.101963952687</v>
      </c>
      <c r="N20" s="39" t="n">
        <f aca="false">N10+N14+N19</f>
        <v>500.382338449299</v>
      </c>
      <c r="O20" s="39" t="n">
        <f aca="false">O10+O14+O19</f>
        <v>438.096269081188</v>
      </c>
      <c r="P20" s="39" t="n">
        <f aca="false">P10+P14+P19</f>
        <v>633.971778797839</v>
      </c>
    </row>
    <row r="21" customFormat="false" ht="14.4" hidden="false" customHeight="false" outlineLevel="0" collapsed="false">
      <c r="B21" s="0" t="s">
        <v>176</v>
      </c>
      <c r="C21" s="52" t="n">
        <v>138</v>
      </c>
      <c r="D21" s="38" t="n">
        <f aca="false">C22</f>
        <v>87.3000000000001</v>
      </c>
      <c r="E21" s="38" t="n">
        <f aca="false">D22</f>
        <v>256.1</v>
      </c>
      <c r="F21" s="38" t="n">
        <f aca="false">E22</f>
        <v>282.900000000001</v>
      </c>
      <c r="G21" s="38" t="n">
        <f aca="false">F22</f>
        <v>73.5000000000001</v>
      </c>
      <c r="H21" s="38" t="n">
        <f aca="false">G22</f>
        <v>83.8999999999984</v>
      </c>
      <c r="I21" s="38" t="n">
        <f aca="false">H22</f>
        <v>282.5</v>
      </c>
      <c r="J21" s="38" t="n">
        <f aca="false">I22</f>
        <v>1139.1</v>
      </c>
      <c r="K21" s="38" t="n">
        <f aca="false">J22</f>
        <v>1868</v>
      </c>
      <c r="L21" s="38" t="n">
        <f aca="false">K22</f>
        <v>2903</v>
      </c>
      <c r="M21" s="38" t="n">
        <f aca="false">L22</f>
        <v>3134</v>
      </c>
      <c r="N21" s="38" t="n">
        <f aca="false">M22</f>
        <v>3238.10196395269</v>
      </c>
      <c r="O21" s="38" t="n">
        <f aca="false">N22</f>
        <v>3738.48430240199</v>
      </c>
      <c r="P21" s="38" t="n">
        <f aca="false">O22</f>
        <v>4176.58057148318</v>
      </c>
    </row>
    <row r="22" customFormat="false" ht="14.4" hidden="false" customHeight="false" outlineLevel="0" collapsed="false">
      <c r="A22" s="0" t="s">
        <v>109</v>
      </c>
      <c r="B22" s="0" t="s">
        <v>177</v>
      </c>
      <c r="C22" s="35" t="n">
        <f aca="false">C20+C21</f>
        <v>87.3000000000001</v>
      </c>
      <c r="D22" s="35" t="n">
        <f aca="false">D20+D21</f>
        <v>256.1</v>
      </c>
      <c r="E22" s="35" t="n">
        <f aca="false">E20+E21</f>
        <v>282.900000000001</v>
      </c>
      <c r="F22" s="35" t="n">
        <f aca="false">F20+F21</f>
        <v>73.5000000000001</v>
      </c>
      <c r="G22" s="35" t="n">
        <f aca="false">G20+G21</f>
        <v>83.8999999999984</v>
      </c>
      <c r="H22" s="35" t="n">
        <f aca="false">H20+H21</f>
        <v>282.5</v>
      </c>
      <c r="I22" s="35" t="n">
        <f aca="false">I20+I21</f>
        <v>1139.1</v>
      </c>
      <c r="J22" s="35" t="n">
        <f aca="false">J20+J21</f>
        <v>1868</v>
      </c>
      <c r="K22" s="35" t="n">
        <f aca="false">K20+K21</f>
        <v>2903</v>
      </c>
      <c r="L22" s="35" t="n">
        <f aca="false">L20+L21</f>
        <v>3134</v>
      </c>
      <c r="M22" s="35" t="n">
        <f aca="false">M20+M21</f>
        <v>3238.10196395269</v>
      </c>
      <c r="N22" s="35" t="n">
        <f aca="false">N20+N21</f>
        <v>3738.48430240199</v>
      </c>
      <c r="O22" s="35" t="n">
        <f aca="false">O20+O21</f>
        <v>4176.58057148318</v>
      </c>
      <c r="P22" s="35" t="n">
        <f aca="false">P20+P21</f>
        <v>4810.55235028101</v>
      </c>
    </row>
    <row r="28" customFormat="false" ht="14.4" hidden="false" customHeight="false" outlineLevel="0" collapsed="false">
      <c r="B28" s="66"/>
    </row>
    <row r="29" customFormat="false" ht="14.4" hidden="false" customHeight="false" outlineLevel="0" collapsed="false">
      <c r="B29" s="6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U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875" defaultRowHeight="14.4" zeroHeight="false" outlineLevelRow="0" outlineLevelCol="0"/>
  <cols>
    <col collapsed="false" customWidth="true" hidden="false" outlineLevel="0" max="2" min="2" style="0" width="50.78"/>
    <col collapsed="false" customWidth="true" hidden="false" outlineLevel="0" max="3" min="3" style="35" width="10.22"/>
    <col collapsed="false" customWidth="true" hidden="false" outlineLevel="0" max="7" min="4" style="35" width="9.11"/>
    <col collapsed="false" customWidth="true" hidden="false" outlineLevel="0" max="10" min="8" style="35" width="8.89"/>
    <col collapsed="false" customWidth="true" hidden="false" outlineLevel="0" max="11" min="11" style="35" width="9.33"/>
    <col collapsed="false" customWidth="true" hidden="false" outlineLevel="0" max="13" min="13" style="0" width="9.66"/>
    <col collapsed="false" customWidth="true" hidden="false" outlineLevel="0" max="15" min="14" style="0" width="8.78"/>
  </cols>
  <sheetData>
    <row r="2" customFormat="false" ht="21" hidden="false" customHeight="true" outlineLevel="0" collapsed="false">
      <c r="B2" s="61" t="s">
        <v>178</v>
      </c>
    </row>
    <row r="4" customFormat="false" ht="21" hidden="false" customHeight="true" outlineLevel="0" collapsed="false">
      <c r="B4" s="67" t="s">
        <v>179</v>
      </c>
      <c r="C4" s="68"/>
      <c r="D4" s="68"/>
      <c r="E4" s="68"/>
      <c r="F4" s="68"/>
      <c r="G4" s="68"/>
      <c r="H4" s="68"/>
      <c r="I4" s="68"/>
      <c r="J4" s="68"/>
      <c r="K4" s="69"/>
    </row>
    <row r="5" customFormat="false" ht="14.4" hidden="false" customHeight="false" outlineLevel="0" collapsed="false">
      <c r="B5" s="70" t="s">
        <v>64</v>
      </c>
      <c r="C5" s="36" t="n">
        <v>2022</v>
      </c>
      <c r="D5" s="36" t="n">
        <f aca="false">C5+1</f>
        <v>2023</v>
      </c>
      <c r="E5" s="36" t="n">
        <f aca="false">D5+1</f>
        <v>2024</v>
      </c>
      <c r="F5" s="36" t="n">
        <f aca="false">E5+1</f>
        <v>2025</v>
      </c>
      <c r="G5" s="36" t="n">
        <f aca="false">F5+1</f>
        <v>2026</v>
      </c>
      <c r="H5" s="37" t="n">
        <f aca="false">G5+1</f>
        <v>2027</v>
      </c>
      <c r="I5" s="37" t="n">
        <f aca="false">H5+1</f>
        <v>2028</v>
      </c>
      <c r="J5" s="37" t="n">
        <f aca="false">I5+1</f>
        <v>2029</v>
      </c>
      <c r="K5" s="71" t="n">
        <f aca="false">J5+1</f>
        <v>2030</v>
      </c>
    </row>
    <row r="6" customFormat="false" ht="14.4" hidden="false" customHeight="false" outlineLevel="0" collapsed="false">
      <c r="B6" s="72"/>
      <c r="C6" s="73"/>
      <c r="D6" s="36"/>
      <c r="E6" s="36"/>
      <c r="F6" s="36"/>
      <c r="G6" s="36"/>
      <c r="H6" s="37"/>
      <c r="I6" s="37"/>
      <c r="J6" s="37"/>
      <c r="K6" s="71"/>
    </row>
    <row r="7" customFormat="false" ht="14.4" hidden="false" customHeight="false" outlineLevel="0" collapsed="false">
      <c r="B7" s="72" t="s">
        <v>180</v>
      </c>
      <c r="C7" s="38" t="n">
        <f aca="false">BS!G17</f>
        <v>157.8</v>
      </c>
      <c r="D7" s="38" t="n">
        <f aca="false">C10</f>
        <v>263.9</v>
      </c>
      <c r="E7" s="38" t="n">
        <f aca="false">D10</f>
        <v>182.4</v>
      </c>
      <c r="F7" s="38" t="n">
        <f aca="false">E10</f>
        <v>240.4</v>
      </c>
      <c r="G7" s="38" t="n">
        <f aca="false">F10</f>
        <v>480.4</v>
      </c>
      <c r="H7" s="38" t="n">
        <f aca="false">G10</f>
        <v>408</v>
      </c>
      <c r="I7" s="38" t="n">
        <f aca="false">H10</f>
        <v>467.5928</v>
      </c>
      <c r="J7" s="38" t="n">
        <f aca="false">I10</f>
        <v>536.1912</v>
      </c>
      <c r="K7" s="74" t="n">
        <f aca="false">J10</f>
        <v>608.847008</v>
      </c>
    </row>
    <row r="8" customFormat="false" ht="14.4" hidden="false" customHeight="false" outlineLevel="0" collapsed="false">
      <c r="B8" s="72" t="s">
        <v>181</v>
      </c>
      <c r="C8" s="52" t="n">
        <v>206.1</v>
      </c>
      <c r="D8" s="52" t="n">
        <v>42.5</v>
      </c>
      <c r="E8" s="52" t="n">
        <f aca="false">E52</f>
        <v>184</v>
      </c>
      <c r="F8" s="52" t="n">
        <v>377</v>
      </c>
      <c r="G8" s="52" t="n">
        <v>71.6</v>
      </c>
      <c r="H8" s="38" t="n">
        <f aca="false">H52</f>
        <v>213.6728</v>
      </c>
      <c r="I8" s="38" t="n">
        <f aca="false">I52</f>
        <v>233.464</v>
      </c>
      <c r="J8" s="38" t="n">
        <f aca="false">J52</f>
        <v>249.062</v>
      </c>
      <c r="K8" s="74" t="n">
        <f aca="false">K52</f>
        <v>265.518</v>
      </c>
    </row>
    <row r="9" customFormat="false" ht="14.4" hidden="false" customHeight="false" outlineLevel="0" collapsed="false">
      <c r="B9" s="72" t="s">
        <v>182</v>
      </c>
      <c r="C9" s="52" t="n">
        <v>-100</v>
      </c>
      <c r="D9" s="52" t="n">
        <v>-124</v>
      </c>
      <c r="E9" s="52" t="n">
        <v>-126</v>
      </c>
      <c r="F9" s="52" t="n">
        <v>-137</v>
      </c>
      <c r="G9" s="52" t="n">
        <v>-144</v>
      </c>
      <c r="H9" s="35" t="n">
        <f aca="false">(1+Assumptions!E18)*G9</f>
        <v>-154.08</v>
      </c>
      <c r="I9" s="35" t="n">
        <f aca="false">(1+Assumptions!F18)*H9</f>
        <v>-164.8656</v>
      </c>
      <c r="J9" s="35" t="n">
        <f aca="false">(1+Assumptions!G18)*I9</f>
        <v>-176.406192</v>
      </c>
      <c r="K9" s="75" t="n">
        <f aca="false">(1+Assumptions!H18)*J9</f>
        <v>-188.75462544</v>
      </c>
      <c r="M9" s="35"/>
      <c r="N9" s="35"/>
      <c r="O9" s="35"/>
      <c r="P9" s="35"/>
    </row>
    <row r="10" customFormat="false" ht="14.4" hidden="false" customHeight="false" outlineLevel="0" collapsed="false">
      <c r="B10" s="70" t="s">
        <v>183</v>
      </c>
      <c r="C10" s="39" t="n">
        <f aca="false">SUM(C7:C9)</f>
        <v>263.9</v>
      </c>
      <c r="D10" s="39" t="n">
        <f aca="false">SUM(D7:D9)</f>
        <v>182.4</v>
      </c>
      <c r="E10" s="39" t="n">
        <f aca="false">SUM(E7:E9)</f>
        <v>240.4</v>
      </c>
      <c r="F10" s="39" t="n">
        <f aca="false">SUM(F7:F9)</f>
        <v>480.4</v>
      </c>
      <c r="G10" s="39" t="n">
        <f aca="false">SUM(G7:G9)</f>
        <v>408</v>
      </c>
      <c r="H10" s="39" t="n">
        <f aca="false">SUM(H7:H9)</f>
        <v>467.5928</v>
      </c>
      <c r="I10" s="39" t="n">
        <f aca="false">SUM(I7:I9)</f>
        <v>536.1912</v>
      </c>
      <c r="J10" s="39" t="n">
        <f aca="false">SUM(J7:J9)</f>
        <v>608.847008</v>
      </c>
      <c r="K10" s="76" t="n">
        <f aca="false">SUM(K7:K9)</f>
        <v>685.61038256</v>
      </c>
      <c r="M10" s="77"/>
      <c r="N10" s="35"/>
    </row>
    <row r="11" customFormat="false" ht="14.4" hidden="false" customHeight="false" outlineLevel="0" collapsed="false">
      <c r="B11" s="70" t="s">
        <v>22</v>
      </c>
      <c r="C11" s="78" t="n">
        <v>11.9</v>
      </c>
      <c r="D11" s="78" t="n">
        <v>16</v>
      </c>
      <c r="E11" s="78" t="n">
        <v>21</v>
      </c>
      <c r="F11" s="78" t="n">
        <v>40</v>
      </c>
      <c r="G11" s="78" t="n">
        <v>37</v>
      </c>
      <c r="H11" s="79" t="n">
        <f aca="false">AVERAGE(H10,H7)*Assumptions!E19</f>
        <v>37.212694</v>
      </c>
      <c r="I11" s="79" t="n">
        <f aca="false">AVERAGE(I10,I7)*Assumptions!F19</f>
        <v>42.66082</v>
      </c>
      <c r="J11" s="79" t="n">
        <f aca="false">AVERAGE(J10,J7)*Assumptions!G19</f>
        <v>48.66412384</v>
      </c>
      <c r="K11" s="80" t="n">
        <f aca="false">AVERAGE(K10,K7)*Assumptions!H19</f>
        <v>55.0144390988</v>
      </c>
      <c r="M11" s="81"/>
      <c r="N11" s="35"/>
    </row>
    <row r="12" customFormat="false" ht="14.4" hidden="false" customHeight="false" outlineLevel="0" collapsed="false">
      <c r="B12" s="70"/>
      <c r="C12" s="78"/>
      <c r="D12" s="78"/>
      <c r="E12" s="78"/>
      <c r="F12" s="78"/>
      <c r="G12" s="82"/>
      <c r="H12" s="79"/>
      <c r="I12" s="79"/>
      <c r="J12" s="79"/>
      <c r="K12" s="80"/>
      <c r="M12" s="81"/>
      <c r="N12" s="35"/>
    </row>
    <row r="13" customFormat="false" ht="14.4" hidden="false" customHeight="false" outlineLevel="0" collapsed="false">
      <c r="B13" s="72"/>
      <c r="K13" s="83"/>
      <c r="M13" s="35"/>
      <c r="N13" s="35"/>
    </row>
    <row r="14" customFormat="false" ht="21" hidden="false" customHeight="true" outlineLevel="0" collapsed="false">
      <c r="B14" s="84" t="s">
        <v>184</v>
      </c>
      <c r="K14" s="83"/>
      <c r="M14" s="35"/>
      <c r="N14" s="35"/>
    </row>
    <row r="15" customFormat="false" ht="14.4" hidden="false" customHeight="false" outlineLevel="0" collapsed="false">
      <c r="B15" s="70" t="s">
        <v>64</v>
      </c>
      <c r="C15" s="36" t="n">
        <v>2022</v>
      </c>
      <c r="D15" s="36" t="n">
        <f aca="false">C15+1</f>
        <v>2023</v>
      </c>
      <c r="E15" s="36" t="n">
        <f aca="false">D15+1</f>
        <v>2024</v>
      </c>
      <c r="F15" s="36" t="n">
        <f aca="false">E15+1</f>
        <v>2025</v>
      </c>
      <c r="G15" s="36" t="n">
        <f aca="false">F15+1</f>
        <v>2026</v>
      </c>
      <c r="H15" s="37" t="n">
        <f aca="false">G15+1</f>
        <v>2027</v>
      </c>
      <c r="I15" s="37" t="n">
        <f aca="false">H15+1</f>
        <v>2028</v>
      </c>
      <c r="J15" s="37" t="n">
        <f aca="false">I15+1</f>
        <v>2029</v>
      </c>
      <c r="K15" s="71" t="n">
        <f aca="false">J15+1</f>
        <v>2030</v>
      </c>
      <c r="M15" s="35"/>
      <c r="N15" s="35"/>
    </row>
    <row r="16" customFormat="false" ht="14.4" hidden="false" customHeight="false" outlineLevel="0" collapsed="false">
      <c r="B16" s="70"/>
      <c r="C16" s="36"/>
      <c r="D16" s="36"/>
      <c r="E16" s="36"/>
      <c r="F16" s="36"/>
      <c r="G16" s="36"/>
      <c r="H16" s="37"/>
      <c r="I16" s="37"/>
      <c r="J16" s="37"/>
      <c r="K16" s="71"/>
      <c r="M16" s="35"/>
      <c r="N16" s="35"/>
    </row>
    <row r="17" customFormat="false" ht="14.4" hidden="false" customHeight="false" outlineLevel="0" collapsed="false">
      <c r="B17" s="72" t="s">
        <v>185</v>
      </c>
      <c r="C17" s="85" t="n">
        <v>876</v>
      </c>
      <c r="D17" s="86" t="n">
        <f aca="false">C19</f>
        <v>341</v>
      </c>
      <c r="E17" s="86" t="n">
        <f aca="false">D19</f>
        <v>0</v>
      </c>
      <c r="F17" s="86" t="n">
        <f aca="false">E19</f>
        <v>25</v>
      </c>
      <c r="G17" s="86" t="n">
        <f aca="false">F19</f>
        <v>0</v>
      </c>
      <c r="H17" s="86" t="n">
        <f aca="false">G19</f>
        <v>0</v>
      </c>
      <c r="I17" s="86" t="n">
        <f aca="false">H19</f>
        <v>0</v>
      </c>
      <c r="J17" s="86" t="n">
        <f aca="false">I19</f>
        <v>0</v>
      </c>
      <c r="K17" s="87" t="n">
        <f aca="false">J19</f>
        <v>0</v>
      </c>
      <c r="M17" s="35"/>
      <c r="N17" s="35"/>
    </row>
    <row r="18" customFormat="false" ht="14.4" hidden="false" customHeight="false" outlineLevel="0" collapsed="false">
      <c r="B18" s="72" t="s">
        <v>186</v>
      </c>
      <c r="C18" s="85" t="n">
        <v>-535</v>
      </c>
      <c r="D18" s="85" t="n">
        <v>-341</v>
      </c>
      <c r="E18" s="85" t="n">
        <v>25</v>
      </c>
      <c r="F18" s="85" t="n">
        <v>-25</v>
      </c>
      <c r="G18" s="85" t="n">
        <v>0</v>
      </c>
      <c r="H18" s="88" t="n">
        <v>0</v>
      </c>
      <c r="I18" s="88" t="n">
        <v>0</v>
      </c>
      <c r="J18" s="88" t="n">
        <v>0</v>
      </c>
      <c r="K18" s="89" t="n">
        <v>0</v>
      </c>
      <c r="M18" s="35"/>
      <c r="N18" s="35"/>
    </row>
    <row r="19" customFormat="false" ht="14.4" hidden="false" customHeight="false" outlineLevel="0" collapsed="false">
      <c r="B19" s="70" t="s">
        <v>187</v>
      </c>
      <c r="C19" s="90" t="n">
        <f aca="false">SUM(C17:C18)</f>
        <v>341</v>
      </c>
      <c r="D19" s="90" t="n">
        <f aca="false">SUM(D17:D18)</f>
        <v>0</v>
      </c>
      <c r="E19" s="90" t="n">
        <f aca="false">SUM(E17:E18)</f>
        <v>25</v>
      </c>
      <c r="F19" s="90" t="n">
        <f aca="false">SUM(F17:F18)</f>
        <v>0</v>
      </c>
      <c r="G19" s="90" t="n">
        <f aca="false">SUM(G17:G18)</f>
        <v>0</v>
      </c>
      <c r="H19" s="90" t="n">
        <f aca="false">SUM(H17:H18)</f>
        <v>0</v>
      </c>
      <c r="I19" s="90" t="n">
        <f aca="false">SUM(I17:I18)</f>
        <v>0</v>
      </c>
      <c r="J19" s="90" t="n">
        <f aca="false">SUM(J17:J18)</f>
        <v>0</v>
      </c>
      <c r="K19" s="91" t="n">
        <f aca="false">SUM(K17:K18)</f>
        <v>0</v>
      </c>
      <c r="M19" s="35"/>
      <c r="N19" s="35"/>
    </row>
    <row r="20" customFormat="false" ht="14.4" hidden="false" customHeight="false" outlineLevel="0" collapsed="false">
      <c r="B20" s="70" t="s">
        <v>22</v>
      </c>
      <c r="C20" s="92" t="n">
        <v>38</v>
      </c>
      <c r="D20" s="92" t="n">
        <v>20.3</v>
      </c>
      <c r="E20" s="92" t="n">
        <v>0</v>
      </c>
      <c r="F20" s="92" t="n">
        <v>0</v>
      </c>
      <c r="G20" s="92" t="n">
        <v>0</v>
      </c>
      <c r="H20" s="92" t="n">
        <v>0</v>
      </c>
      <c r="I20" s="92" t="n">
        <v>0</v>
      </c>
      <c r="J20" s="92" t="n">
        <v>0</v>
      </c>
      <c r="K20" s="93" t="n">
        <v>0</v>
      </c>
      <c r="M20" s="35"/>
      <c r="N20" s="35"/>
    </row>
    <row r="21" customFormat="false" ht="14.4" hidden="false" customHeight="false" outlineLevel="0" collapsed="false">
      <c r="B21" s="72"/>
      <c r="C21" s="88"/>
      <c r="D21" s="88"/>
      <c r="E21" s="88"/>
      <c r="F21" s="88"/>
      <c r="G21" s="88"/>
      <c r="H21" s="88"/>
      <c r="I21" s="88"/>
      <c r="J21" s="88"/>
      <c r="K21" s="89"/>
      <c r="M21" s="35"/>
      <c r="N21" s="35"/>
    </row>
    <row r="22" customFormat="false" ht="14.4" hidden="false" customHeight="false" outlineLevel="0" collapsed="false">
      <c r="B22" s="94" t="s">
        <v>188</v>
      </c>
      <c r="C22" s="95" t="n">
        <f aca="false">C19+C10</f>
        <v>604.9</v>
      </c>
      <c r="D22" s="95" t="n">
        <f aca="false">D19+D10</f>
        <v>182.4</v>
      </c>
      <c r="E22" s="95" t="n">
        <f aca="false">E19+E10</f>
        <v>265.4</v>
      </c>
      <c r="F22" s="95" t="n">
        <f aca="false">F19+F10</f>
        <v>480.4</v>
      </c>
      <c r="G22" s="95" t="n">
        <f aca="false">G19+G10</f>
        <v>408</v>
      </c>
      <c r="H22" s="95" t="n">
        <f aca="false">H19+H10</f>
        <v>467.5928</v>
      </c>
      <c r="I22" s="95" t="n">
        <f aca="false">I19+I10</f>
        <v>536.1912</v>
      </c>
      <c r="J22" s="95" t="n">
        <f aca="false">J19+J10</f>
        <v>608.847008</v>
      </c>
      <c r="K22" s="96" t="n">
        <f aca="false">K19+K10</f>
        <v>685.61038256</v>
      </c>
      <c r="M22" s="35"/>
      <c r="N22" s="35"/>
    </row>
    <row r="23" customFormat="false" ht="14.4" hidden="false" customHeight="false" outlineLevel="0" collapsed="false">
      <c r="B23" s="8"/>
      <c r="C23" s="90"/>
      <c r="D23" s="90"/>
      <c r="E23" s="90"/>
      <c r="F23" s="90"/>
      <c r="G23" s="90"/>
      <c r="H23" s="90"/>
      <c r="I23" s="90"/>
      <c r="J23" s="90"/>
      <c r="K23" s="90"/>
      <c r="M23" s="35"/>
      <c r="N23" s="35"/>
    </row>
    <row r="24" customFormat="false" ht="14.4" hidden="false" customHeight="false" outlineLevel="0" collapsed="false">
      <c r="B24" s="8"/>
      <c r="C24" s="90"/>
      <c r="D24" s="90"/>
      <c r="E24" s="90"/>
      <c r="F24" s="90"/>
      <c r="G24" s="90"/>
      <c r="H24" s="90"/>
      <c r="I24" s="90"/>
      <c r="J24" s="90"/>
      <c r="K24" s="90"/>
      <c r="M24" s="35"/>
      <c r="N24" s="35"/>
    </row>
    <row r="25" customFormat="false" ht="14.4" hidden="false" customHeight="false" outlineLevel="0" collapsed="false">
      <c r="I25" s="90"/>
      <c r="J25" s="90"/>
      <c r="K25" s="90"/>
      <c r="M25" s="35"/>
      <c r="N25" s="35"/>
    </row>
    <row r="26" customFormat="false" ht="14.4" hidden="false" customHeight="false" outlineLevel="0" collapsed="false">
      <c r="C26" s="88"/>
      <c r="D26" s="88"/>
      <c r="E26" s="88"/>
      <c r="F26" s="88"/>
      <c r="G26" s="88"/>
      <c r="H26" s="88"/>
      <c r="I26" s="88"/>
      <c r="J26" s="88"/>
      <c r="K26" s="88"/>
      <c r="M26" s="35"/>
      <c r="N26" s="35"/>
    </row>
    <row r="27" customFormat="false" ht="21" hidden="false" customHeight="true" outlineLevel="0" collapsed="false">
      <c r="B27" s="67" t="s">
        <v>189</v>
      </c>
      <c r="C27" s="97"/>
      <c r="D27" s="97"/>
      <c r="E27" s="97"/>
      <c r="F27" s="97"/>
      <c r="G27" s="97"/>
      <c r="H27" s="97"/>
      <c r="I27" s="97"/>
      <c r="J27" s="97"/>
      <c r="K27" s="98"/>
      <c r="M27" s="35"/>
      <c r="N27" s="35"/>
    </row>
    <row r="28" customFormat="false" ht="14.4" hidden="false" customHeight="false" outlineLevel="0" collapsed="false">
      <c r="B28" s="99" t="s">
        <v>64</v>
      </c>
      <c r="C28" s="36" t="n">
        <v>2022</v>
      </c>
      <c r="D28" s="36" t="n">
        <f aca="false">C28+1</f>
        <v>2023</v>
      </c>
      <c r="E28" s="36" t="n">
        <f aca="false">D28+1</f>
        <v>2024</v>
      </c>
      <c r="F28" s="36" t="n">
        <f aca="false">E28+1</f>
        <v>2025</v>
      </c>
      <c r="G28" s="36" t="n">
        <f aca="false">F28+1</f>
        <v>2026</v>
      </c>
      <c r="H28" s="37" t="n">
        <f aca="false">G28+1</f>
        <v>2027</v>
      </c>
      <c r="I28" s="37" t="n">
        <f aca="false">H28+1</f>
        <v>2028</v>
      </c>
      <c r="J28" s="37" t="n">
        <f aca="false">I28+1</f>
        <v>2029</v>
      </c>
      <c r="K28" s="100" t="n">
        <f aca="false">J28+1</f>
        <v>2030</v>
      </c>
      <c r="M28" s="35"/>
      <c r="N28" s="35"/>
    </row>
    <row r="29" customFormat="false" ht="14.4" hidden="false" customHeight="false" outlineLevel="0" collapsed="false">
      <c r="B29" s="99"/>
      <c r="C29" s="36"/>
      <c r="D29" s="36"/>
      <c r="E29" s="36"/>
      <c r="F29" s="36"/>
      <c r="G29" s="36"/>
      <c r="H29" s="37"/>
      <c r="I29" s="37"/>
      <c r="J29" s="37"/>
      <c r="K29" s="100"/>
      <c r="M29" s="35"/>
      <c r="N29" s="35"/>
    </row>
    <row r="30" customFormat="false" ht="14.4" hidden="false" customHeight="false" outlineLevel="0" collapsed="false">
      <c r="B30" s="101" t="s">
        <v>190</v>
      </c>
      <c r="C30" s="35" t="n">
        <f aca="false">C11</f>
        <v>11.9</v>
      </c>
      <c r="D30" s="35" t="n">
        <f aca="false">D11</f>
        <v>16</v>
      </c>
      <c r="E30" s="35" t="n">
        <f aca="false">E11</f>
        <v>21</v>
      </c>
      <c r="F30" s="35" t="n">
        <f aca="false">F11</f>
        <v>40</v>
      </c>
      <c r="G30" s="35" t="n">
        <f aca="false">G11</f>
        <v>37</v>
      </c>
      <c r="H30" s="35" t="n">
        <f aca="false">H11</f>
        <v>37.212694</v>
      </c>
      <c r="I30" s="35" t="n">
        <f aca="false">I11</f>
        <v>42.66082</v>
      </c>
      <c r="J30" s="35" t="n">
        <f aca="false">J11</f>
        <v>48.66412384</v>
      </c>
      <c r="K30" s="102" t="n">
        <f aca="false">K11</f>
        <v>55.0144390988</v>
      </c>
      <c r="L30" s="35"/>
      <c r="M30" s="35"/>
      <c r="N30" s="35"/>
    </row>
    <row r="31" customFormat="false" ht="14.4" hidden="false" customHeight="false" outlineLevel="0" collapsed="false">
      <c r="B31" s="101" t="s">
        <v>191</v>
      </c>
      <c r="C31" s="103" t="n">
        <f aca="false">C20</f>
        <v>38</v>
      </c>
      <c r="D31" s="103" t="n">
        <f aca="false">D20</f>
        <v>20.3</v>
      </c>
      <c r="E31" s="103" t="n">
        <f aca="false">E20</f>
        <v>0</v>
      </c>
      <c r="F31" s="103" t="n">
        <f aca="false">F20</f>
        <v>0</v>
      </c>
      <c r="G31" s="103" t="n">
        <f aca="false">G20</f>
        <v>0</v>
      </c>
      <c r="H31" s="103" t="n">
        <f aca="false">H20</f>
        <v>0</v>
      </c>
      <c r="I31" s="103" t="n">
        <f aca="false">I20</f>
        <v>0</v>
      </c>
      <c r="J31" s="103" t="n">
        <f aca="false">J20</f>
        <v>0</v>
      </c>
      <c r="K31" s="104" t="n">
        <f aca="false">K20</f>
        <v>0</v>
      </c>
      <c r="M31" s="35"/>
      <c r="N31" s="35"/>
    </row>
    <row r="32" customFormat="false" ht="14.4" hidden="false" customHeight="false" outlineLevel="0" collapsed="false">
      <c r="B32" s="101" t="s">
        <v>192</v>
      </c>
      <c r="C32" s="105" t="n">
        <v>38.1</v>
      </c>
      <c r="D32" s="105" t="n">
        <v>67.6</v>
      </c>
      <c r="E32" s="105" t="n">
        <v>55</v>
      </c>
      <c r="F32" s="105" t="n">
        <v>49</v>
      </c>
      <c r="G32" s="105" t="n">
        <v>121</v>
      </c>
      <c r="H32" s="86" t="n">
        <f aca="false">Assumptions!E21</f>
        <v>55</v>
      </c>
      <c r="I32" s="86" t="n">
        <f aca="false">Assumptions!F21</f>
        <v>55</v>
      </c>
      <c r="J32" s="86" t="n">
        <f aca="false">Assumptions!G21</f>
        <v>55</v>
      </c>
      <c r="K32" s="106" t="n">
        <f aca="false">Assumptions!H21</f>
        <v>55</v>
      </c>
      <c r="L32" s="35"/>
      <c r="M32" s="35"/>
      <c r="N32" s="35"/>
      <c r="O32" s="35"/>
      <c r="P32" s="35"/>
      <c r="Q32" s="35"/>
    </row>
    <row r="33" customFormat="false" ht="14.4" hidden="false" customHeight="false" outlineLevel="0" collapsed="false">
      <c r="B33" s="107" t="s">
        <v>35</v>
      </c>
      <c r="C33" s="108" t="n">
        <f aca="false">SUM(C30:C32)</f>
        <v>88</v>
      </c>
      <c r="D33" s="108" t="n">
        <f aca="false">SUM(D30:D32)</f>
        <v>103.9</v>
      </c>
      <c r="E33" s="108" t="n">
        <f aca="false">SUM(E30:E32)</f>
        <v>76</v>
      </c>
      <c r="F33" s="108" t="n">
        <f aca="false">SUM(F30:F32)</f>
        <v>89</v>
      </c>
      <c r="G33" s="108" t="n">
        <f aca="false">SUM(G30:G32)</f>
        <v>158</v>
      </c>
      <c r="H33" s="108" t="n">
        <f aca="false">SUM(H30:H32)</f>
        <v>92.212694</v>
      </c>
      <c r="I33" s="108" t="n">
        <f aca="false">SUM(I30:I32)</f>
        <v>97.66082</v>
      </c>
      <c r="J33" s="108" t="n">
        <f aca="false">SUM(J30:J32)</f>
        <v>103.66412384</v>
      </c>
      <c r="K33" s="109" t="n">
        <f aca="false">SUM(K30:K32)</f>
        <v>110.0144390988</v>
      </c>
      <c r="L33" s="35"/>
      <c r="M33" s="35"/>
      <c r="N33" s="35"/>
    </row>
    <row r="34" customFormat="false" ht="14.4" hidden="false" customHeight="false" outlineLevel="0" collapsed="false">
      <c r="B34" s="8"/>
      <c r="C34" s="110"/>
      <c r="D34" s="110"/>
      <c r="E34" s="110"/>
      <c r="F34" s="110"/>
      <c r="G34" s="110"/>
      <c r="H34" s="110"/>
      <c r="I34" s="110"/>
      <c r="J34" s="110"/>
      <c r="K34" s="110"/>
      <c r="L34" s="35"/>
      <c r="M34" s="35"/>
      <c r="N34" s="35"/>
    </row>
    <row r="35" customFormat="false" ht="14.4" hidden="false" customHeight="false" outlineLevel="0" collapsed="false">
      <c r="B35" s="8"/>
      <c r="C35" s="110"/>
      <c r="D35" s="110"/>
      <c r="E35" s="110"/>
      <c r="F35" s="110"/>
      <c r="G35" s="110"/>
      <c r="H35" s="110"/>
      <c r="I35" s="110"/>
      <c r="J35" s="110"/>
      <c r="K35" s="110"/>
      <c r="L35" s="35"/>
      <c r="M35" s="35"/>
      <c r="N35" s="35"/>
    </row>
    <row r="36" customFormat="false" ht="14.4" hidden="false" customHeight="false" outlineLevel="0" collapsed="false">
      <c r="C36" s="111"/>
      <c r="D36" s="112"/>
      <c r="E36" s="112"/>
      <c r="F36" s="112"/>
      <c r="G36" s="112"/>
      <c r="H36" s="112"/>
      <c r="I36" s="112"/>
      <c r="J36" s="112"/>
      <c r="K36" s="112"/>
      <c r="M36" s="35"/>
      <c r="N36" s="35"/>
    </row>
    <row r="37" customFormat="false" ht="21" hidden="false" customHeight="true" outlineLevel="0" collapsed="false">
      <c r="B37" s="67" t="s">
        <v>193</v>
      </c>
      <c r="C37" s="113"/>
      <c r="D37" s="113"/>
      <c r="E37" s="113"/>
      <c r="F37" s="113"/>
      <c r="G37" s="113"/>
      <c r="H37" s="113"/>
      <c r="I37" s="113"/>
      <c r="J37" s="113"/>
      <c r="K37" s="114"/>
      <c r="N37" s="35"/>
    </row>
    <row r="38" customFormat="false" ht="14.4" hidden="false" customHeight="false" outlineLevel="0" collapsed="false">
      <c r="B38" s="99" t="s">
        <v>64</v>
      </c>
      <c r="C38" s="36" t="n">
        <v>2022</v>
      </c>
      <c r="D38" s="36" t="n">
        <f aca="false">C38+1</f>
        <v>2023</v>
      </c>
      <c r="E38" s="36" t="n">
        <f aca="false">D38+1</f>
        <v>2024</v>
      </c>
      <c r="F38" s="36" t="n">
        <f aca="false">E38+1</f>
        <v>2025</v>
      </c>
      <c r="G38" s="36" t="n">
        <f aca="false">F38+1</f>
        <v>2026</v>
      </c>
      <c r="H38" s="37" t="n">
        <f aca="false">G38+1</f>
        <v>2027</v>
      </c>
      <c r="I38" s="37" t="n">
        <f aca="false">H38+1</f>
        <v>2028</v>
      </c>
      <c r="J38" s="37" t="n">
        <f aca="false">I38+1</f>
        <v>2029</v>
      </c>
      <c r="K38" s="100" t="n">
        <f aca="false">J38+1</f>
        <v>2030</v>
      </c>
    </row>
    <row r="39" customFormat="false" ht="14.4" hidden="false" customHeight="false" outlineLevel="0" collapsed="false">
      <c r="B39" s="101"/>
      <c r="C39" s="36"/>
      <c r="D39" s="36"/>
      <c r="E39" s="36"/>
      <c r="F39" s="36"/>
      <c r="G39" s="36"/>
      <c r="H39" s="37"/>
      <c r="I39" s="37"/>
      <c r="J39" s="37"/>
      <c r="K39" s="100"/>
    </row>
    <row r="40" customFormat="false" ht="14.4" hidden="false" customHeight="false" outlineLevel="0" collapsed="false">
      <c r="B40" s="101" t="s">
        <v>100</v>
      </c>
      <c r="C40" s="115" t="n">
        <f aca="false">PL!C5</f>
        <v>8817.5</v>
      </c>
      <c r="D40" s="115" t="n">
        <f aca="false">PL!D5</f>
        <v>8590.6</v>
      </c>
      <c r="E40" s="115" t="n">
        <f aca="false">PL!E5</f>
        <v>9340.8</v>
      </c>
      <c r="F40" s="115" t="n">
        <f aca="false">PL!F5</f>
        <v>9325.4</v>
      </c>
      <c r="G40" s="115" t="n">
        <f aca="false">PL!G5</f>
        <v>8131.3</v>
      </c>
      <c r="H40" s="115" t="n">
        <f aca="false">PL!H5</f>
        <v>9712.4</v>
      </c>
      <c r="I40" s="115" t="n">
        <f aca="false">PL!I5</f>
        <v>10612</v>
      </c>
      <c r="J40" s="115" t="n">
        <f aca="false">PL!J5</f>
        <v>11321</v>
      </c>
      <c r="K40" s="116" t="n">
        <f aca="false">PL!K5</f>
        <v>12069</v>
      </c>
    </row>
    <row r="41" customFormat="false" ht="14.4" hidden="false" customHeight="false" outlineLevel="0" collapsed="false">
      <c r="B41" s="101" t="s">
        <v>185</v>
      </c>
      <c r="C41" s="35" t="n">
        <v>88.3</v>
      </c>
      <c r="D41" s="38" t="n">
        <f aca="false">C44</f>
        <v>87.7</v>
      </c>
      <c r="E41" s="38" t="n">
        <f aca="false">D44</f>
        <v>66.8</v>
      </c>
      <c r="F41" s="38" t="n">
        <f aca="false">E44</f>
        <v>36.8</v>
      </c>
      <c r="G41" s="38" t="n">
        <f aca="false">F44</f>
        <v>71.8</v>
      </c>
      <c r="H41" s="38" t="n">
        <f aca="false">G44</f>
        <v>77</v>
      </c>
      <c r="I41" s="38" t="n">
        <f aca="false">H44</f>
        <v>77</v>
      </c>
      <c r="J41" s="38" t="n">
        <f aca="false">I44</f>
        <v>77</v>
      </c>
      <c r="K41" s="117" t="n">
        <f aca="false">J44</f>
        <v>77</v>
      </c>
    </row>
    <row r="42" customFormat="false" ht="14.4" hidden="false" customHeight="false" outlineLevel="0" collapsed="false">
      <c r="B42" s="101" t="s">
        <v>194</v>
      </c>
      <c r="C42" s="35" t="n">
        <v>123.4</v>
      </c>
      <c r="D42" s="118" t="n">
        <v>114.3</v>
      </c>
      <c r="E42" s="118" t="n">
        <v>96</v>
      </c>
      <c r="F42" s="118" t="n">
        <v>161</v>
      </c>
      <c r="G42" s="118" t="n">
        <v>181</v>
      </c>
      <c r="H42" s="35" t="n">
        <f aca="false">H40*Assumptions!E12</f>
        <v>145.686</v>
      </c>
      <c r="I42" s="35" t="n">
        <f aca="false">I40*Assumptions!F12</f>
        <v>159.18</v>
      </c>
      <c r="J42" s="35" t="n">
        <f aca="false">J40*Assumptions!G12</f>
        <v>169.815</v>
      </c>
      <c r="K42" s="102" t="n">
        <f aca="false">K40*Assumptions!H12</f>
        <v>181.035</v>
      </c>
    </row>
    <row r="43" customFormat="false" ht="14.4" hidden="false" customHeight="false" outlineLevel="0" collapsed="false">
      <c r="B43" s="101" t="s">
        <v>195</v>
      </c>
      <c r="C43" s="35" t="n">
        <v>-124</v>
      </c>
      <c r="D43" s="118" t="n">
        <v>-135.2</v>
      </c>
      <c r="E43" s="118" t="n">
        <v>-126</v>
      </c>
      <c r="F43" s="118" t="n">
        <v>-126</v>
      </c>
      <c r="G43" s="118" t="n">
        <v>-175.8</v>
      </c>
      <c r="H43" s="38" t="n">
        <f aca="false">-H42</f>
        <v>-145.686</v>
      </c>
      <c r="I43" s="38" t="n">
        <f aca="false">-I42</f>
        <v>-159.18</v>
      </c>
      <c r="J43" s="38" t="n">
        <f aca="false">-J42</f>
        <v>-169.815</v>
      </c>
      <c r="K43" s="117" t="n">
        <f aca="false">-K42</f>
        <v>-181.035</v>
      </c>
    </row>
    <row r="44" customFormat="false" ht="14.4" hidden="false" customHeight="false" outlineLevel="0" collapsed="false">
      <c r="B44" s="119" t="s">
        <v>187</v>
      </c>
      <c r="C44" s="120" t="n">
        <f aca="false">SUM(C41:C43)</f>
        <v>87.7</v>
      </c>
      <c r="D44" s="120" t="n">
        <f aca="false">SUM(D41:D43)</f>
        <v>66.8</v>
      </c>
      <c r="E44" s="120" t="n">
        <f aca="false">SUM(E41:E43)</f>
        <v>36.8</v>
      </c>
      <c r="F44" s="120" t="n">
        <f aca="false">SUM(F41:F43)</f>
        <v>71.8</v>
      </c>
      <c r="G44" s="120" t="n">
        <f aca="false">SUM(G41:G43)</f>
        <v>77</v>
      </c>
      <c r="H44" s="120" t="n">
        <f aca="false">SUM(H41:H43)</f>
        <v>77</v>
      </c>
      <c r="I44" s="120" t="n">
        <f aca="false">SUM(I41:I43)</f>
        <v>77</v>
      </c>
      <c r="J44" s="120" t="n">
        <f aca="false">SUM(J41:J43)</f>
        <v>77</v>
      </c>
      <c r="K44" s="121" t="n">
        <f aca="false">SUM(K41:K43)</f>
        <v>77</v>
      </c>
    </row>
    <row r="47" customFormat="false" ht="14.4" hidden="false" customHeight="false" outlineLevel="0" collapsed="false">
      <c r="S47" s="122" t="n">
        <v>2026</v>
      </c>
      <c r="T47" s="122"/>
    </row>
    <row r="48" customFormat="false" ht="21" hidden="false" customHeight="true" outlineLevel="0" collapsed="false">
      <c r="B48" s="67" t="s">
        <v>196</v>
      </c>
      <c r="C48" s="113"/>
      <c r="D48" s="113"/>
      <c r="E48" s="113"/>
      <c r="F48" s="113"/>
      <c r="G48" s="113"/>
      <c r="H48" s="113"/>
      <c r="I48" s="113"/>
      <c r="J48" s="113"/>
      <c r="K48" s="114"/>
      <c r="S48" s="123" t="s">
        <v>21</v>
      </c>
      <c r="T48" s="124" t="n">
        <v>289</v>
      </c>
    </row>
    <row r="49" customFormat="false" ht="14.4" hidden="false" customHeight="false" outlineLevel="0" collapsed="false">
      <c r="B49" s="99" t="s">
        <v>64</v>
      </c>
      <c r="C49" s="36" t="n">
        <v>2022</v>
      </c>
      <c r="D49" s="36" t="n">
        <f aca="false">C49+1</f>
        <v>2023</v>
      </c>
      <c r="E49" s="36" t="n">
        <f aca="false">D49+1</f>
        <v>2024</v>
      </c>
      <c r="F49" s="36" t="n">
        <f aca="false">E49+1</f>
        <v>2025</v>
      </c>
      <c r="G49" s="36" t="n">
        <f aca="false">F49+1</f>
        <v>2026</v>
      </c>
      <c r="H49" s="37" t="n">
        <f aca="false">G49+1</f>
        <v>2027</v>
      </c>
      <c r="I49" s="37" t="n">
        <f aca="false">H49+1</f>
        <v>2028</v>
      </c>
      <c r="J49" s="37" t="n">
        <f aca="false">I49+1</f>
        <v>2029</v>
      </c>
      <c r="K49" s="100" t="n">
        <f aca="false">J49+1</f>
        <v>2030</v>
      </c>
      <c r="S49" s="123" t="s">
        <v>197</v>
      </c>
      <c r="T49" s="124" t="n">
        <v>144</v>
      </c>
    </row>
    <row r="50" customFormat="false" ht="14.4" hidden="false" customHeight="false" outlineLevel="0" collapsed="false">
      <c r="B50" s="101"/>
      <c r="K50" s="102"/>
      <c r="S50" s="123" t="s">
        <v>198</v>
      </c>
      <c r="T50" s="124" t="n">
        <v>37</v>
      </c>
    </row>
    <row r="51" customFormat="false" ht="14.4" hidden="false" customHeight="false" outlineLevel="0" collapsed="false">
      <c r="B51" s="101" t="s">
        <v>199</v>
      </c>
      <c r="C51" s="52" t="n">
        <v>164.4</v>
      </c>
      <c r="D51" s="38" t="n">
        <f aca="false">C55</f>
        <v>260.6</v>
      </c>
      <c r="E51" s="38" t="n">
        <f aca="false">D55</f>
        <v>172.6</v>
      </c>
      <c r="F51" s="38" t="n">
        <f aca="false">E55</f>
        <v>226.6</v>
      </c>
      <c r="G51" s="38" t="n">
        <f aca="false">F55</f>
        <v>456.6</v>
      </c>
      <c r="H51" s="38" t="n">
        <f aca="false">G55</f>
        <v>500.4886</v>
      </c>
      <c r="I51" s="38" t="n">
        <f aca="false">H55</f>
        <v>612.138342857143</v>
      </c>
      <c r="J51" s="38" t="n">
        <f aca="false">I55</f>
        <v>710.227285714286</v>
      </c>
      <c r="K51" s="117" t="n">
        <f aca="false">J55</f>
        <v>788.333942857143</v>
      </c>
      <c r="S51" s="123" t="s">
        <v>200</v>
      </c>
      <c r="T51" s="124" t="n">
        <v>158</v>
      </c>
    </row>
    <row r="52" customFormat="false" ht="14.4" hidden="false" customHeight="false" outlineLevel="0" collapsed="false">
      <c r="B52" s="101" t="s">
        <v>201</v>
      </c>
      <c r="C52" s="52" t="n">
        <v>229.2</v>
      </c>
      <c r="D52" s="52" t="n">
        <v>85.8</v>
      </c>
      <c r="E52" s="52" t="n">
        <v>184</v>
      </c>
      <c r="F52" s="52" t="n">
        <v>394</v>
      </c>
      <c r="G52" s="56" t="n">
        <f aca="false">G40*0.022</f>
        <v>178.8886</v>
      </c>
      <c r="H52" s="35" t="n">
        <f aca="false">Assumptions!E15*H40</f>
        <v>213.6728</v>
      </c>
      <c r="I52" s="35" t="n">
        <f aca="false">Assumptions!F15*I40</f>
        <v>233.464</v>
      </c>
      <c r="J52" s="35" t="n">
        <f aca="false">Assumptions!G15*J40</f>
        <v>249.062</v>
      </c>
      <c r="K52" s="102" t="n">
        <f aca="false">Assumptions!H15*K40</f>
        <v>265.518</v>
      </c>
    </row>
    <row r="53" customFormat="false" ht="14.4" hidden="false" customHeight="false" outlineLevel="0" collapsed="false">
      <c r="B53" s="101" t="s">
        <v>21</v>
      </c>
      <c r="C53" s="52" t="n">
        <v>-109.9</v>
      </c>
      <c r="D53" s="52" t="n">
        <v>-130.1</v>
      </c>
      <c r="E53" s="52" t="n">
        <v>-129</v>
      </c>
      <c r="F53" s="52" t="n">
        <v>-147</v>
      </c>
      <c r="G53" s="52" t="n">
        <v>-135</v>
      </c>
      <c r="H53" s="35" t="n">
        <f aca="false">H108</f>
        <v>-102.023057142857</v>
      </c>
      <c r="I53" s="35" t="n">
        <f aca="false">I108</f>
        <v>-135.375057142857</v>
      </c>
      <c r="J53" s="35" t="n">
        <f aca="false">J108</f>
        <v>-170.955342857143</v>
      </c>
      <c r="K53" s="102" t="n">
        <f aca="false">K108</f>
        <v>-208.886485714286</v>
      </c>
    </row>
    <row r="54" customFormat="false" ht="14.4" hidden="false" customHeight="false" outlineLevel="0" collapsed="false">
      <c r="B54" s="101" t="s">
        <v>202</v>
      </c>
      <c r="C54" s="52" t="n">
        <v>-23.1</v>
      </c>
      <c r="D54" s="52" t="n">
        <v>-43.7</v>
      </c>
      <c r="E54" s="52" t="n">
        <v>-1</v>
      </c>
      <c r="F54" s="52" t="n">
        <v>-17</v>
      </c>
      <c r="G54" s="52"/>
      <c r="K54" s="102"/>
    </row>
    <row r="55" customFormat="false" ht="14.4" hidden="false" customHeight="false" outlineLevel="0" collapsed="false">
      <c r="B55" s="119" t="s">
        <v>203</v>
      </c>
      <c r="C55" s="125" t="n">
        <f aca="false">SUM(C51:C54)</f>
        <v>260.6</v>
      </c>
      <c r="D55" s="120" t="n">
        <f aca="false">SUM(D51:D54)</f>
        <v>172.6</v>
      </c>
      <c r="E55" s="120" t="n">
        <f aca="false">SUM(E51:E54)</f>
        <v>226.6</v>
      </c>
      <c r="F55" s="120" t="n">
        <f aca="false">SUM(F51:F54)</f>
        <v>456.6</v>
      </c>
      <c r="G55" s="120" t="n">
        <f aca="false">SUM(G51:G54)</f>
        <v>500.4886</v>
      </c>
      <c r="H55" s="120" t="n">
        <f aca="false">SUM(H51:H54)</f>
        <v>612.138342857143</v>
      </c>
      <c r="I55" s="120" t="n">
        <f aca="false">SUM(I51:I54)</f>
        <v>710.227285714286</v>
      </c>
      <c r="J55" s="120" t="n">
        <f aca="false">SUM(J51:J54)</f>
        <v>788.333942857143</v>
      </c>
      <c r="K55" s="121" t="n">
        <f aca="false">SUM(K51:K54)</f>
        <v>844.965457142857</v>
      </c>
    </row>
    <row r="56" customFormat="false" ht="14.4" hidden="false" customHeight="false" outlineLevel="0" collapsed="false">
      <c r="C56" s="52"/>
    </row>
    <row r="58" customFormat="false" ht="14.4" hidden="false" customHeight="false" outlineLevel="0" collapsed="false">
      <c r="O58" s="35"/>
    </row>
    <row r="59" customFormat="false" ht="21" hidden="false" customHeight="true" outlineLevel="0" collapsed="false">
      <c r="B59" s="67" t="s">
        <v>204</v>
      </c>
      <c r="C59" s="113"/>
      <c r="D59" s="113"/>
      <c r="E59" s="113"/>
      <c r="F59" s="113"/>
      <c r="G59" s="113"/>
      <c r="H59" s="113"/>
      <c r="I59" s="113"/>
      <c r="J59" s="113"/>
      <c r="K59" s="114"/>
    </row>
    <row r="60" customFormat="false" ht="14.4" hidden="false" customHeight="false" outlineLevel="0" collapsed="false">
      <c r="B60" s="99" t="s">
        <v>64</v>
      </c>
      <c r="C60" s="36" t="n">
        <v>2022</v>
      </c>
      <c r="D60" s="36" t="n">
        <f aca="false">C60+1</f>
        <v>2023</v>
      </c>
      <c r="E60" s="36" t="n">
        <f aca="false">D60+1</f>
        <v>2024</v>
      </c>
      <c r="F60" s="36" t="n">
        <f aca="false">E60+1</f>
        <v>2025</v>
      </c>
      <c r="G60" s="36" t="n">
        <f aca="false">F60+1</f>
        <v>2026</v>
      </c>
      <c r="H60" s="37" t="n">
        <f aca="false">G60+1</f>
        <v>2027</v>
      </c>
      <c r="I60" s="37" t="n">
        <f aca="false">H60+1</f>
        <v>2028</v>
      </c>
      <c r="J60" s="37" t="n">
        <f aca="false">I60+1</f>
        <v>2029</v>
      </c>
      <c r="K60" s="100" t="n">
        <f aca="false">J60+1</f>
        <v>2030</v>
      </c>
    </row>
    <row r="61" customFormat="false" ht="14.4" hidden="false" customHeight="false" outlineLevel="0" collapsed="false">
      <c r="B61" s="101"/>
      <c r="K61" s="102"/>
    </row>
    <row r="62" customFormat="false" ht="14.4" hidden="false" customHeight="false" outlineLevel="0" collapsed="false">
      <c r="B62" s="101" t="s">
        <v>205</v>
      </c>
      <c r="C62" s="52" t="n">
        <v>2247</v>
      </c>
      <c r="D62" s="52" t="n">
        <f aca="false">C65</f>
        <v>2250</v>
      </c>
      <c r="E62" s="52" t="n">
        <f aca="false">D65</f>
        <v>2012</v>
      </c>
      <c r="F62" s="52" t="n">
        <f aca="false">E65</f>
        <v>1893</v>
      </c>
      <c r="G62" s="52" t="n">
        <f aca="false">F65</f>
        <v>1939</v>
      </c>
      <c r="H62" s="52" t="n">
        <f aca="false">G65</f>
        <v>2109</v>
      </c>
      <c r="I62" s="52" t="n">
        <f aca="false">H65</f>
        <v>2244.9736</v>
      </c>
      <c r="J62" s="52" t="n">
        <f aca="false">I65</f>
        <v>2393.5416</v>
      </c>
      <c r="K62" s="126" t="n">
        <f aca="false">J65</f>
        <v>2552.0356</v>
      </c>
    </row>
    <row r="63" customFormat="false" ht="14.4" hidden="false" customHeight="false" outlineLevel="0" collapsed="false">
      <c r="B63" s="101" t="s">
        <v>169</v>
      </c>
      <c r="C63" s="52" t="n">
        <v>124</v>
      </c>
      <c r="D63" s="52" t="n">
        <v>145.2</v>
      </c>
      <c r="E63" s="52" t="n">
        <v>126</v>
      </c>
      <c r="F63" s="52" t="n">
        <v>126</v>
      </c>
      <c r="G63" s="52" t="n">
        <v>170</v>
      </c>
      <c r="H63" s="38" t="n">
        <f aca="false">H40*Assumptions!E13</f>
        <v>135.9736</v>
      </c>
      <c r="I63" s="38" t="n">
        <f aca="false">I40*Assumptions!F13</f>
        <v>148.568</v>
      </c>
      <c r="J63" s="38" t="n">
        <f aca="false">J40*Assumptions!G13</f>
        <v>158.494</v>
      </c>
      <c r="K63" s="38" t="n">
        <f aca="false">K40*Assumptions!H13</f>
        <v>168.966</v>
      </c>
    </row>
    <row r="64" customFormat="false" ht="14.4" hidden="false" customHeight="false" outlineLevel="0" collapsed="false">
      <c r="B64" s="101" t="s">
        <v>206</v>
      </c>
      <c r="C64" s="52" t="n">
        <v>-121</v>
      </c>
      <c r="D64" s="52" t="n">
        <v>-383.2</v>
      </c>
      <c r="E64" s="52" t="n">
        <v>-245</v>
      </c>
      <c r="F64" s="52" t="n">
        <v>-80</v>
      </c>
      <c r="G64" s="52"/>
      <c r="K64" s="102"/>
      <c r="N64" s="127"/>
      <c r="O64" s="127"/>
      <c r="P64" s="127"/>
      <c r="Q64" s="127"/>
    </row>
    <row r="65" customFormat="false" ht="14.4" hidden="false" customHeight="false" outlineLevel="0" collapsed="false">
      <c r="B65" s="99" t="s">
        <v>187</v>
      </c>
      <c r="C65" s="54" t="n">
        <f aca="false">SUM(C62:C64)</f>
        <v>2250</v>
      </c>
      <c r="D65" s="54" t="n">
        <f aca="false">SUM(D62:D64)</f>
        <v>2012</v>
      </c>
      <c r="E65" s="54" t="n">
        <f aca="false">SUM(E62:E64)</f>
        <v>1893</v>
      </c>
      <c r="F65" s="54" t="n">
        <f aca="false">SUM(F62:F64)</f>
        <v>1939</v>
      </c>
      <c r="G65" s="54" t="n">
        <f aca="false">SUM(G62:G64)</f>
        <v>2109</v>
      </c>
      <c r="H65" s="54" t="n">
        <f aca="false">SUM(H62:H64)</f>
        <v>2244.9736</v>
      </c>
      <c r="I65" s="54" t="n">
        <f aca="false">SUM(I62:I64)</f>
        <v>2393.5416</v>
      </c>
      <c r="J65" s="54" t="n">
        <f aca="false">SUM(J62:J64)</f>
        <v>2552.0356</v>
      </c>
      <c r="K65" s="128" t="n">
        <f aca="false">SUM(K62:K64)</f>
        <v>2721.0016</v>
      </c>
      <c r="N65" s="127"/>
      <c r="O65" s="127"/>
      <c r="P65" s="127"/>
      <c r="Q65" s="127"/>
    </row>
    <row r="66" customFormat="false" ht="14.4" hidden="false" customHeight="false" outlineLevel="0" collapsed="false">
      <c r="B66" s="99" t="s">
        <v>207</v>
      </c>
      <c r="C66" s="45" t="n">
        <v>-1035</v>
      </c>
      <c r="D66" s="45" t="n">
        <v>-1033.7</v>
      </c>
      <c r="E66" s="45" t="n">
        <v>-1049</v>
      </c>
      <c r="F66" s="45" t="n">
        <v>-1089</v>
      </c>
      <c r="G66" s="39" t="n">
        <f aca="false">-(G65-G67)</f>
        <v>-894</v>
      </c>
      <c r="H66" s="39" t="n">
        <f aca="false">G66+H95</f>
        <v>-978.43585</v>
      </c>
      <c r="I66" s="39" t="n">
        <f aca="false">H66+I95</f>
        <v>-1072.1572</v>
      </c>
      <c r="J66" s="39" t="n">
        <f aca="false">I66+J95</f>
        <v>-1175.784425</v>
      </c>
      <c r="K66" s="129" t="n">
        <f aca="false">J66+K95</f>
        <v>-1289.972025</v>
      </c>
      <c r="O66" s="35"/>
    </row>
    <row r="67" customFormat="false" ht="14.4" hidden="false" customHeight="false" outlineLevel="0" collapsed="false">
      <c r="B67" s="119" t="s">
        <v>36</v>
      </c>
      <c r="C67" s="120" t="n">
        <f aca="false">SUM(C65:C66)</f>
        <v>1215</v>
      </c>
      <c r="D67" s="120" t="n">
        <f aca="false">SUM(D65:D66)</f>
        <v>978.3</v>
      </c>
      <c r="E67" s="120" t="n">
        <f aca="false">SUM(E65:E66)</f>
        <v>844</v>
      </c>
      <c r="F67" s="120" t="n">
        <f aca="false">SUM(F65:F66)</f>
        <v>850</v>
      </c>
      <c r="G67" s="120" t="n">
        <v>1215</v>
      </c>
      <c r="H67" s="120" t="n">
        <f aca="false">SUM(H65:H66)</f>
        <v>1266.53775</v>
      </c>
      <c r="I67" s="120" t="n">
        <f aca="false">SUM(I65:I66)</f>
        <v>1321.3844</v>
      </c>
      <c r="J67" s="120" t="n">
        <f aca="false">SUM(J65:J66)</f>
        <v>1376.251175</v>
      </c>
      <c r="K67" s="121" t="n">
        <f aca="false">SUM(K65:K66)</f>
        <v>1431.029575</v>
      </c>
      <c r="O67" s="130"/>
    </row>
    <row r="68" customFormat="false" ht="14.4" hidden="false" customHeight="false" outlineLevel="0" collapsed="false">
      <c r="O68" s="130"/>
    </row>
    <row r="69" customFormat="false" ht="14.4" hidden="false" customHeight="false" outlineLevel="0" collapsed="false">
      <c r="O69" s="130"/>
    </row>
    <row r="70" customFormat="false" ht="14.4" hidden="false" customHeight="false" outlineLevel="0" collapsed="false">
      <c r="B70" s="131" t="s">
        <v>208</v>
      </c>
      <c r="C70" s="132"/>
      <c r="D70" s="132"/>
      <c r="E70" s="132"/>
      <c r="F70" s="132"/>
      <c r="G70" s="132"/>
      <c r="H70" s="132" t="n">
        <f aca="false">-H82+H95+H108</f>
        <v>-196.162907142857</v>
      </c>
      <c r="I70" s="132" t="n">
        <f aca="false">-I82+I95+I108</f>
        <v>-239.188903142857</v>
      </c>
      <c r="J70" s="132" t="n">
        <f aca="false">-J82+J95+J108</f>
        <v>-285.099543857143</v>
      </c>
      <c r="K70" s="133" t="n">
        <f aca="false">-K82+K95+K108</f>
        <v>-334.043901714286</v>
      </c>
      <c r="O70" s="130"/>
    </row>
    <row r="71" customFormat="false" ht="14.4" hidden="false" customHeight="false" outlineLevel="0" collapsed="false">
      <c r="B71" s="8"/>
      <c r="C71" s="39"/>
      <c r="D71" s="39"/>
      <c r="E71" s="39"/>
      <c r="F71" s="39"/>
      <c r="G71" s="39"/>
      <c r="H71" s="39"/>
      <c r="I71" s="39"/>
      <c r="J71" s="39"/>
      <c r="K71" s="39"/>
      <c r="O71" s="130"/>
    </row>
    <row r="72" customFormat="false" ht="14.4" hidden="false" customHeight="false" outlineLevel="0" collapsed="false">
      <c r="G72" s="112"/>
      <c r="O72" s="130"/>
    </row>
    <row r="73" customFormat="false" ht="21" hidden="false" customHeight="true" outlineLevel="0" collapsed="false">
      <c r="B73" s="134" t="s">
        <v>209</v>
      </c>
      <c r="C73" s="113"/>
      <c r="D73" s="113"/>
      <c r="E73" s="113"/>
      <c r="F73" s="113"/>
      <c r="G73" s="113"/>
      <c r="H73" s="113"/>
      <c r="I73" s="113"/>
      <c r="J73" s="113"/>
      <c r="K73" s="114"/>
      <c r="O73" s="130"/>
    </row>
    <row r="74" customFormat="false" ht="14.4" hidden="false" customHeight="false" outlineLevel="0" collapsed="false">
      <c r="B74" s="99" t="s">
        <v>64</v>
      </c>
      <c r="C74" s="36" t="n">
        <v>2022</v>
      </c>
      <c r="D74" s="36" t="n">
        <f aca="false">C74+1</f>
        <v>2023</v>
      </c>
      <c r="E74" s="36" t="n">
        <f aca="false">D74+1</f>
        <v>2024</v>
      </c>
      <c r="F74" s="36" t="n">
        <f aca="false">E74+1</f>
        <v>2025</v>
      </c>
      <c r="G74" s="36" t="n">
        <f aca="false">F74+1</f>
        <v>2026</v>
      </c>
      <c r="H74" s="37" t="n">
        <f aca="false">G74+1</f>
        <v>2027</v>
      </c>
      <c r="I74" s="37" t="n">
        <f aca="false">H74+1</f>
        <v>2028</v>
      </c>
      <c r="J74" s="37" t="n">
        <f aca="false">I74+1</f>
        <v>2029</v>
      </c>
      <c r="K74" s="100" t="n">
        <f aca="false">J74+1</f>
        <v>2030</v>
      </c>
      <c r="O74" s="130"/>
    </row>
    <row r="75" customFormat="false" ht="14.4" hidden="false" customHeight="false" outlineLevel="0" collapsed="false">
      <c r="B75" s="101"/>
      <c r="K75" s="102"/>
      <c r="O75" s="130"/>
    </row>
    <row r="76" customFormat="false" ht="14.4" hidden="false" customHeight="false" outlineLevel="0" collapsed="false">
      <c r="B76" s="101" t="s">
        <v>210</v>
      </c>
      <c r="C76" s="52" t="n">
        <v>461.8</v>
      </c>
      <c r="D76" s="52" t="n">
        <f aca="false">C79</f>
        <v>464.8</v>
      </c>
      <c r="E76" s="52" t="n">
        <f aca="false">D79</f>
        <v>480.6</v>
      </c>
      <c r="F76" s="52" t="n">
        <f aca="false">E79</f>
        <v>498.6</v>
      </c>
      <c r="G76" s="52" t="n">
        <f aca="false">F79</f>
        <v>500.6</v>
      </c>
      <c r="H76" s="52" t="n">
        <f aca="false">G79</f>
        <v>242.6</v>
      </c>
      <c r="I76" s="52" t="n">
        <f aca="false">H79</f>
        <v>252.3124</v>
      </c>
      <c r="J76" s="52" t="n">
        <f aca="false">I79</f>
        <v>262.9244</v>
      </c>
      <c r="K76" s="126" t="n">
        <f aca="false">J79</f>
        <v>274.2454</v>
      </c>
      <c r="O76" s="130"/>
    </row>
    <row r="77" customFormat="false" ht="14.4" hidden="false" customHeight="false" outlineLevel="0" collapsed="false">
      <c r="B77" s="101" t="s">
        <v>201</v>
      </c>
      <c r="C77" s="52" t="n">
        <v>3</v>
      </c>
      <c r="D77" s="52" t="n">
        <v>19</v>
      </c>
      <c r="E77" s="52" t="n">
        <v>18</v>
      </c>
      <c r="F77" s="52" t="n">
        <v>2</v>
      </c>
      <c r="G77" s="52" t="n">
        <v>11</v>
      </c>
      <c r="H77" s="38" t="n">
        <f aca="false">H42-H63</f>
        <v>9.71239999999997</v>
      </c>
      <c r="I77" s="38" t="n">
        <f aca="false">I42-I63</f>
        <v>10.612</v>
      </c>
      <c r="J77" s="38" t="n">
        <f aca="false">J42-J63</f>
        <v>11.321</v>
      </c>
      <c r="K77" s="117" t="n">
        <f aca="false">K42-K63</f>
        <v>12.069</v>
      </c>
      <c r="M77" s="38"/>
      <c r="N77" s="38"/>
      <c r="O77" s="38"/>
      <c r="P77" s="38"/>
      <c r="Q77" s="38"/>
    </row>
    <row r="78" customFormat="false" ht="14.4" hidden="false" customHeight="false" outlineLevel="0" collapsed="false">
      <c r="B78" s="101" t="s">
        <v>206</v>
      </c>
      <c r="C78" s="52"/>
      <c r="D78" s="52" t="n">
        <v>-3.2</v>
      </c>
      <c r="E78" s="52"/>
      <c r="F78" s="52"/>
      <c r="G78" s="35" t="n">
        <v>-269</v>
      </c>
      <c r="K78" s="102"/>
      <c r="O78" s="130"/>
    </row>
    <row r="79" customFormat="false" ht="14.4" hidden="false" customHeight="false" outlineLevel="0" collapsed="false">
      <c r="B79" s="99" t="s">
        <v>187</v>
      </c>
      <c r="C79" s="54" t="n">
        <f aca="false">SUM(C76:C78)</f>
        <v>464.8</v>
      </c>
      <c r="D79" s="54" t="n">
        <f aca="false">SUM(D76:D78)</f>
        <v>480.6</v>
      </c>
      <c r="E79" s="54" t="n">
        <f aca="false">SUM(E76:E78)</f>
        <v>498.6</v>
      </c>
      <c r="F79" s="54" t="n">
        <f aca="false">SUM(F76:F78)</f>
        <v>500.6</v>
      </c>
      <c r="G79" s="54" t="n">
        <f aca="false">SUM(G76:G78)</f>
        <v>242.6</v>
      </c>
      <c r="H79" s="54" t="n">
        <f aca="false">SUM(H76:H78)</f>
        <v>252.3124</v>
      </c>
      <c r="I79" s="54" t="n">
        <f aca="false">SUM(I76:I78)</f>
        <v>262.9244</v>
      </c>
      <c r="J79" s="54" t="n">
        <f aca="false">SUM(J76:J78)</f>
        <v>274.2454</v>
      </c>
      <c r="K79" s="128" t="n">
        <f aca="false">SUM(K76:K78)</f>
        <v>286.3144</v>
      </c>
      <c r="O79" s="130"/>
    </row>
    <row r="80" customFormat="false" ht="14.4" hidden="false" customHeight="false" outlineLevel="0" collapsed="false">
      <c r="B80" s="99" t="s">
        <v>211</v>
      </c>
      <c r="C80" s="45" t="n">
        <v>-106.8</v>
      </c>
      <c r="D80" s="45" t="n">
        <v>-124</v>
      </c>
      <c r="E80" s="45" t="n">
        <v>-150</v>
      </c>
      <c r="F80" s="45" t="n">
        <v>-172</v>
      </c>
      <c r="G80" s="45" t="n">
        <f aca="false">F80-G82</f>
        <v>-193</v>
      </c>
      <c r="H80" s="45" t="n">
        <f aca="false">G80-H82</f>
        <v>-202.704</v>
      </c>
      <c r="I80" s="45" t="n">
        <f aca="false">H80-I82</f>
        <v>-212.796496</v>
      </c>
      <c r="J80" s="45" t="n">
        <f aca="false">I80-J82</f>
        <v>-223.313472</v>
      </c>
      <c r="K80" s="135" t="n">
        <f aca="false">J80-K82</f>
        <v>-234.283288</v>
      </c>
      <c r="O80" s="130"/>
    </row>
    <row r="81" customFormat="false" ht="14.4" hidden="false" customHeight="false" outlineLevel="0" collapsed="false">
      <c r="B81" s="101" t="s">
        <v>36</v>
      </c>
      <c r="C81" s="35" t="n">
        <f aca="false">SUM(C79:C80)</f>
        <v>358</v>
      </c>
      <c r="D81" s="35" t="n">
        <f aca="false">SUM(D79:D80)</f>
        <v>356.6</v>
      </c>
      <c r="E81" s="35" t="n">
        <f aca="false">SUM(E79:E80)</f>
        <v>348.6</v>
      </c>
      <c r="F81" s="35" t="n">
        <f aca="false">SUM(F79:F80)</f>
        <v>328.6</v>
      </c>
      <c r="G81" s="35" t="n">
        <v>76</v>
      </c>
      <c r="H81" s="35" t="n">
        <f aca="false">SUM(H79:H80)</f>
        <v>49.6084</v>
      </c>
      <c r="I81" s="35" t="n">
        <f aca="false">SUM(I79:I80)</f>
        <v>50.127904</v>
      </c>
      <c r="J81" s="35" t="n">
        <f aca="false">SUM(J79:J80)</f>
        <v>50.931928</v>
      </c>
      <c r="K81" s="102" t="n">
        <f aca="false">SUM(K79:K80)</f>
        <v>52.031112</v>
      </c>
      <c r="O81" s="130"/>
    </row>
    <row r="82" customFormat="false" ht="14.4" hidden="false" customHeight="false" outlineLevel="0" collapsed="false">
      <c r="B82" s="107" t="s">
        <v>212</v>
      </c>
      <c r="C82" s="136" t="n">
        <v>20.6</v>
      </c>
      <c r="D82" s="136" t="n">
        <v>19</v>
      </c>
      <c r="E82" s="136" t="n">
        <v>25</v>
      </c>
      <c r="F82" s="136" t="n">
        <v>22</v>
      </c>
      <c r="G82" s="137" t="n">
        <v>21</v>
      </c>
      <c r="H82" s="138" t="n">
        <f aca="false">H76*Assumptions!E14</f>
        <v>9.704</v>
      </c>
      <c r="I82" s="138" t="n">
        <f aca="false">I76*Assumptions!F14</f>
        <v>10.092496</v>
      </c>
      <c r="J82" s="138" t="n">
        <f aca="false">J76*Assumptions!G14</f>
        <v>10.516976</v>
      </c>
      <c r="K82" s="139" t="n">
        <f aca="false">K76*Assumptions!H14</f>
        <v>10.969816</v>
      </c>
      <c r="O82" s="130"/>
    </row>
    <row r="83" customFormat="false" ht="14.4" hidden="false" customHeight="false" outlineLevel="0" collapsed="false">
      <c r="O83" s="130"/>
    </row>
    <row r="84" customFormat="false" ht="14.4" hidden="false" customHeight="false" outlineLevel="0" collapsed="false">
      <c r="O84" s="130"/>
    </row>
    <row r="85" customFormat="false" ht="21" hidden="false" customHeight="true" outlineLevel="0" collapsed="false">
      <c r="B85" s="67" t="s">
        <v>213</v>
      </c>
      <c r="C85" s="113"/>
      <c r="D85" s="140"/>
      <c r="E85" s="140"/>
      <c r="F85" s="141"/>
      <c r="G85" s="141"/>
      <c r="H85" s="142"/>
      <c r="I85" s="142"/>
      <c r="J85" s="113"/>
      <c r="K85" s="114"/>
    </row>
    <row r="86" customFormat="false" ht="14.4" hidden="false" customHeight="false" outlineLevel="0" collapsed="false">
      <c r="B86" s="99" t="s">
        <v>64</v>
      </c>
      <c r="C86" s="36" t="n">
        <v>2022</v>
      </c>
      <c r="D86" s="36" t="n">
        <f aca="false">C86+1</f>
        <v>2023</v>
      </c>
      <c r="E86" s="36" t="n">
        <f aca="false">D86+1</f>
        <v>2024</v>
      </c>
      <c r="F86" s="36" t="n">
        <f aca="false">E86+1</f>
        <v>2025</v>
      </c>
      <c r="G86" s="36" t="n">
        <f aca="false">F86+1</f>
        <v>2026</v>
      </c>
      <c r="H86" s="37" t="n">
        <f aca="false">G86+1</f>
        <v>2027</v>
      </c>
      <c r="I86" s="37" t="n">
        <f aca="false">H86+1</f>
        <v>2028</v>
      </c>
      <c r="J86" s="37" t="n">
        <f aca="false">I86+1</f>
        <v>2029</v>
      </c>
      <c r="K86" s="100" t="n">
        <f aca="false">J86+1</f>
        <v>2030</v>
      </c>
      <c r="M86" s="124" t="s">
        <v>214</v>
      </c>
      <c r="N86" s="143" t="n">
        <v>16</v>
      </c>
    </row>
    <row r="87" customFormat="false" ht="14.4" hidden="false" customHeight="false" outlineLevel="0" collapsed="false">
      <c r="B87" s="99"/>
      <c r="C87" s="36"/>
      <c r="D87" s="36"/>
      <c r="E87" s="36"/>
      <c r="F87" s="36"/>
      <c r="G87" s="36"/>
      <c r="H87" s="37"/>
      <c r="I87" s="37"/>
      <c r="J87" s="37"/>
      <c r="K87" s="100"/>
    </row>
    <row r="88" customFormat="false" ht="14.4" hidden="false" customHeight="false" outlineLevel="0" collapsed="false">
      <c r="B88" s="101" t="s">
        <v>185</v>
      </c>
      <c r="C88" s="77"/>
      <c r="H88" s="38" t="n">
        <f aca="false">G67</f>
        <v>1215</v>
      </c>
      <c r="I88" s="38" t="n">
        <f aca="false">H67</f>
        <v>1266.53775</v>
      </c>
      <c r="J88" s="38" t="n">
        <f aca="false">I67</f>
        <v>1321.3844</v>
      </c>
      <c r="K88" s="117" t="n">
        <f aca="false">J67</f>
        <v>1376.251175</v>
      </c>
    </row>
    <row r="89" customFormat="false" ht="14.4" hidden="false" customHeight="false" outlineLevel="0" collapsed="false">
      <c r="B89" s="101" t="s">
        <v>169</v>
      </c>
      <c r="C89" s="144"/>
      <c r="H89" s="38" t="n">
        <f aca="false">H63</f>
        <v>135.9736</v>
      </c>
      <c r="I89" s="38" t="n">
        <f aca="false">I63</f>
        <v>148.568</v>
      </c>
      <c r="J89" s="38" t="n">
        <f aca="false">J63</f>
        <v>158.494</v>
      </c>
      <c r="K89" s="117" t="n">
        <f aca="false">K63</f>
        <v>168.966</v>
      </c>
    </row>
    <row r="90" customFormat="false" ht="14.4" hidden="false" customHeight="false" outlineLevel="0" collapsed="false">
      <c r="B90" s="101" t="s">
        <v>21</v>
      </c>
      <c r="H90" s="38" t="n">
        <f aca="false">-H88/N86</f>
        <v>-75.9375</v>
      </c>
      <c r="I90" s="38" t="n">
        <f aca="false">H90</f>
        <v>-75.9375</v>
      </c>
      <c r="J90" s="38" t="n">
        <f aca="false">I90</f>
        <v>-75.9375</v>
      </c>
      <c r="K90" s="117" t="n">
        <f aca="false">J90</f>
        <v>-75.9375</v>
      </c>
    </row>
    <row r="91" customFormat="false" ht="14.4" hidden="false" customHeight="false" outlineLevel="0" collapsed="false">
      <c r="B91" s="101" t="s">
        <v>215</v>
      </c>
      <c r="H91" s="38" t="n">
        <f aca="false">-H89/N86</f>
        <v>-8.49835</v>
      </c>
      <c r="I91" s="38" t="n">
        <f aca="false">H91</f>
        <v>-8.49835</v>
      </c>
      <c r="J91" s="38" t="n">
        <f aca="false">I91</f>
        <v>-8.49835</v>
      </c>
      <c r="K91" s="117" t="n">
        <f aca="false">J91</f>
        <v>-8.49835</v>
      </c>
    </row>
    <row r="92" customFormat="false" ht="14.4" hidden="false" customHeight="false" outlineLevel="0" collapsed="false">
      <c r="B92" s="101" t="s">
        <v>216</v>
      </c>
      <c r="H92" s="38"/>
      <c r="I92" s="38" t="n">
        <f aca="false">-I89/N86</f>
        <v>-9.2855</v>
      </c>
      <c r="J92" s="38" t="n">
        <f aca="false">I92</f>
        <v>-9.2855</v>
      </c>
      <c r="K92" s="117" t="n">
        <f aca="false">J92</f>
        <v>-9.2855</v>
      </c>
    </row>
    <row r="93" customFormat="false" ht="14.4" hidden="false" customHeight="false" outlineLevel="0" collapsed="false">
      <c r="B93" s="101" t="s">
        <v>217</v>
      </c>
      <c r="H93" s="38"/>
      <c r="I93" s="38"/>
      <c r="J93" s="38" t="n">
        <f aca="false">-J89/N86</f>
        <v>-9.905875</v>
      </c>
      <c r="K93" s="117" t="n">
        <f aca="false">J93</f>
        <v>-9.905875</v>
      </c>
    </row>
    <row r="94" customFormat="false" ht="14.4" hidden="false" customHeight="false" outlineLevel="0" collapsed="false">
      <c r="B94" s="101" t="s">
        <v>218</v>
      </c>
      <c r="H94" s="38"/>
      <c r="I94" s="38"/>
      <c r="J94" s="38"/>
      <c r="K94" s="117" t="n">
        <f aca="false">-K89/N86</f>
        <v>-10.560375</v>
      </c>
    </row>
    <row r="95" customFormat="false" ht="14.4" hidden="false" customHeight="false" outlineLevel="0" collapsed="false">
      <c r="B95" s="99" t="s">
        <v>21</v>
      </c>
      <c r="H95" s="39" t="n">
        <f aca="false">SUM(H90:H94)</f>
        <v>-84.43585</v>
      </c>
      <c r="I95" s="39" t="n">
        <f aca="false">SUM(I90:I94)</f>
        <v>-93.72135</v>
      </c>
      <c r="J95" s="39" t="n">
        <f aca="false">SUM(J90:J94)</f>
        <v>-103.627225</v>
      </c>
      <c r="K95" s="129" t="n">
        <f aca="false">SUM(K90:K94)</f>
        <v>-114.1876</v>
      </c>
      <c r="M95" s="35"/>
      <c r="N95" s="35"/>
      <c r="O95" s="35"/>
      <c r="P95" s="35"/>
    </row>
    <row r="96" customFormat="false" ht="14.4" hidden="false" customHeight="false" outlineLevel="0" collapsed="false">
      <c r="B96" s="99" t="s">
        <v>187</v>
      </c>
      <c r="H96" s="39" t="n">
        <f aca="false">SUM(H88:H89)+H95</f>
        <v>1266.53775</v>
      </c>
      <c r="I96" s="39" t="n">
        <f aca="false">SUM(I88:I89)+I95</f>
        <v>1321.3844</v>
      </c>
      <c r="J96" s="39" t="n">
        <f aca="false">SUM(J88:J89)+J95</f>
        <v>1376.251175</v>
      </c>
      <c r="K96" s="129" t="n">
        <f aca="false">SUM(K88:K89)+K95</f>
        <v>1431.029575</v>
      </c>
    </row>
    <row r="97" customFormat="false" ht="14.4" hidden="false" customHeight="false" outlineLevel="0" collapsed="false">
      <c r="B97" s="101"/>
      <c r="C97" s="36"/>
      <c r="D97" s="36"/>
      <c r="E97" s="36"/>
      <c r="F97" s="36"/>
      <c r="G97" s="36"/>
      <c r="H97" s="37"/>
      <c r="I97" s="37"/>
      <c r="J97" s="37"/>
      <c r="K97" s="100"/>
    </row>
    <row r="98" customFormat="false" ht="21" hidden="false" customHeight="true" outlineLevel="0" collapsed="false">
      <c r="B98" s="145" t="s">
        <v>219</v>
      </c>
      <c r="D98" s="146"/>
      <c r="E98" s="146"/>
      <c r="F98" s="111"/>
      <c r="G98" s="111"/>
      <c r="H98" s="147"/>
      <c r="I98" s="147"/>
      <c r="K98" s="102"/>
    </row>
    <row r="99" customFormat="false" ht="14.4" hidden="false" customHeight="false" outlineLevel="0" collapsed="false">
      <c r="B99" s="99" t="s">
        <v>64</v>
      </c>
      <c r="C99" s="36" t="n">
        <v>2022</v>
      </c>
      <c r="D99" s="36" t="n">
        <f aca="false">C99+1</f>
        <v>2023</v>
      </c>
      <c r="E99" s="36" t="n">
        <f aca="false">D99+1</f>
        <v>2024</v>
      </c>
      <c r="F99" s="36" t="n">
        <f aca="false">E99+1</f>
        <v>2025</v>
      </c>
      <c r="G99" s="36" t="n">
        <f aca="false">F99+1</f>
        <v>2026</v>
      </c>
      <c r="H99" s="37" t="n">
        <f aca="false">G99+1</f>
        <v>2027</v>
      </c>
      <c r="I99" s="37" t="n">
        <f aca="false">H99+1</f>
        <v>2028</v>
      </c>
      <c r="J99" s="37" t="n">
        <f aca="false">I99+1</f>
        <v>2029</v>
      </c>
      <c r="K99" s="100" t="n">
        <f aca="false">J99+1</f>
        <v>2030</v>
      </c>
    </row>
    <row r="100" customFormat="false" ht="14.4" hidden="false" customHeight="false" outlineLevel="0" collapsed="false">
      <c r="B100" s="99" t="s">
        <v>220</v>
      </c>
      <c r="K100" s="102"/>
      <c r="P100" s="0" t="s">
        <v>221</v>
      </c>
      <c r="Q100" s="112"/>
      <c r="R100" s="148" t="n">
        <v>130.1</v>
      </c>
      <c r="S100" s="148" t="n">
        <v>129</v>
      </c>
      <c r="T100" s="148" t="n">
        <v>147</v>
      </c>
      <c r="U100" s="149" t="n">
        <v>135</v>
      </c>
    </row>
    <row r="101" customFormat="false" ht="14.4" hidden="false" customHeight="false" outlineLevel="0" collapsed="false">
      <c r="B101" s="101" t="s">
        <v>185</v>
      </c>
      <c r="H101" s="35" t="n">
        <f aca="false">G55</f>
        <v>500.4886</v>
      </c>
      <c r="I101" s="35" t="n">
        <f aca="false">H109</f>
        <v>612.138342857143</v>
      </c>
      <c r="J101" s="35" t="n">
        <f aca="false">I109</f>
        <v>710.227285714286</v>
      </c>
      <c r="K101" s="102" t="n">
        <f aca="false">J109</f>
        <v>788.333942857143</v>
      </c>
      <c r="M101" s="124" t="s">
        <v>214</v>
      </c>
      <c r="N101" s="143" t="n">
        <v>7</v>
      </c>
      <c r="P101" s="0" t="s">
        <v>222</v>
      </c>
      <c r="Q101" s="35"/>
      <c r="R101" s="148" t="n">
        <v>19</v>
      </c>
      <c r="S101" s="148" t="n">
        <v>25</v>
      </c>
      <c r="T101" s="148" t="n">
        <v>22</v>
      </c>
      <c r="U101" s="149" t="n">
        <v>21</v>
      </c>
    </row>
    <row r="102" customFormat="false" ht="14.4" hidden="false" customHeight="false" outlineLevel="0" collapsed="false">
      <c r="B102" s="101" t="s">
        <v>169</v>
      </c>
      <c r="H102" s="35" t="n">
        <f aca="false">H52</f>
        <v>213.6728</v>
      </c>
      <c r="I102" s="35" t="n">
        <f aca="false">I52</f>
        <v>233.464</v>
      </c>
      <c r="J102" s="35" t="n">
        <f aca="false">J52</f>
        <v>249.062</v>
      </c>
      <c r="K102" s="102" t="n">
        <f aca="false">K52</f>
        <v>265.518</v>
      </c>
      <c r="P102" s="0" t="s">
        <v>35</v>
      </c>
      <c r="Q102" s="35"/>
      <c r="R102" s="35" t="n">
        <f aca="false">SUM(D88:D101)</f>
        <v>2023</v>
      </c>
      <c r="S102" s="35" t="n">
        <f aca="false">SUM(E88:E101)</f>
        <v>2024</v>
      </c>
      <c r="T102" s="35" t="n">
        <f aca="false">SUM(F88:F101)</f>
        <v>2025</v>
      </c>
      <c r="U102" s="35" t="n">
        <f aca="false">SUM(G88:G101)</f>
        <v>2026</v>
      </c>
    </row>
    <row r="103" customFormat="false" ht="14.4" hidden="false" customHeight="false" outlineLevel="0" collapsed="false">
      <c r="B103" s="101" t="s">
        <v>21</v>
      </c>
      <c r="H103" s="35" t="n">
        <f aca="false">-H101/N101</f>
        <v>-71.4983714285714</v>
      </c>
      <c r="I103" s="35" t="n">
        <f aca="false">H103</f>
        <v>-71.4983714285714</v>
      </c>
      <c r="J103" s="35" t="n">
        <f aca="false">I103</f>
        <v>-71.4983714285714</v>
      </c>
      <c r="K103" s="102" t="n">
        <f aca="false">J103</f>
        <v>-71.4983714285714</v>
      </c>
    </row>
    <row r="104" customFormat="false" ht="14.4" hidden="false" customHeight="false" outlineLevel="0" collapsed="false">
      <c r="B104" s="101" t="s">
        <v>215</v>
      </c>
      <c r="H104" s="35" t="n">
        <f aca="false">-H102/N101</f>
        <v>-30.5246857142857</v>
      </c>
      <c r="I104" s="35" t="n">
        <f aca="false">H104</f>
        <v>-30.5246857142857</v>
      </c>
      <c r="J104" s="35" t="n">
        <f aca="false">I104</f>
        <v>-30.5246857142857</v>
      </c>
      <c r="K104" s="102" t="n">
        <f aca="false">J104</f>
        <v>-30.5246857142857</v>
      </c>
    </row>
    <row r="105" customFormat="false" ht="14.4" hidden="false" customHeight="false" outlineLevel="0" collapsed="false">
      <c r="B105" s="101" t="s">
        <v>216</v>
      </c>
      <c r="I105" s="35" t="n">
        <f aca="false">-I102/N101</f>
        <v>-33.352</v>
      </c>
      <c r="J105" s="35" t="n">
        <f aca="false">I105</f>
        <v>-33.352</v>
      </c>
      <c r="K105" s="102" t="n">
        <f aca="false">J105</f>
        <v>-33.352</v>
      </c>
    </row>
    <row r="106" customFormat="false" ht="14.4" hidden="false" customHeight="false" outlineLevel="0" collapsed="false">
      <c r="B106" s="101" t="s">
        <v>217</v>
      </c>
      <c r="J106" s="35" t="n">
        <f aca="false">-J102/N101</f>
        <v>-35.5802857142857</v>
      </c>
      <c r="K106" s="102" t="n">
        <f aca="false">J106</f>
        <v>-35.5802857142857</v>
      </c>
    </row>
    <row r="107" customFormat="false" ht="14.4" hidden="false" customHeight="false" outlineLevel="0" collapsed="false">
      <c r="B107" s="101" t="s">
        <v>218</v>
      </c>
      <c r="K107" s="102" t="n">
        <f aca="false">-K102/N101</f>
        <v>-37.9311428571429</v>
      </c>
    </row>
    <row r="108" customFormat="false" ht="14.4" hidden="false" customHeight="false" outlineLevel="0" collapsed="false">
      <c r="B108" s="99" t="s">
        <v>21</v>
      </c>
      <c r="H108" s="39" t="n">
        <f aca="false">SUM(H103:H107)</f>
        <v>-102.023057142857</v>
      </c>
      <c r="I108" s="39" t="n">
        <f aca="false">SUM(I103:I107)</f>
        <v>-135.375057142857</v>
      </c>
      <c r="J108" s="39" t="n">
        <f aca="false">SUM(J103:J107)</f>
        <v>-170.955342857143</v>
      </c>
      <c r="K108" s="129" t="n">
        <f aca="false">SUM(K103:K107)</f>
        <v>-208.886485714286</v>
      </c>
    </row>
    <row r="109" customFormat="false" ht="14.4" hidden="false" customHeight="false" outlineLevel="0" collapsed="false">
      <c r="B109" s="107" t="s">
        <v>187</v>
      </c>
      <c r="C109" s="120"/>
      <c r="D109" s="120"/>
      <c r="E109" s="120"/>
      <c r="F109" s="120"/>
      <c r="G109" s="120"/>
      <c r="H109" s="138" t="n">
        <f aca="false">SUM(H101:H102)+H108</f>
        <v>612.138342857143</v>
      </c>
      <c r="I109" s="138" t="n">
        <f aca="false">SUM(I101:I102)+I108</f>
        <v>710.227285714286</v>
      </c>
      <c r="J109" s="138" t="n">
        <f aca="false">SUM(J101:J102)+J108</f>
        <v>788.333942857143</v>
      </c>
      <c r="K109" s="139" t="n">
        <f aca="false">SUM(K101:K102)+K108</f>
        <v>844.965457142857</v>
      </c>
    </row>
    <row r="113" customFormat="false" ht="14.4" hidden="false" customHeight="false" outlineLevel="0" collapsed="false">
      <c r="D113" s="146"/>
      <c r="E113" s="146"/>
      <c r="F113" s="111"/>
      <c r="G113" s="111"/>
      <c r="H113" s="147"/>
      <c r="I113" s="147"/>
      <c r="K113" s="102"/>
    </row>
    <row r="114" customFormat="false" ht="14.4" hidden="false" customHeight="false" outlineLevel="0" collapsed="false">
      <c r="C114" s="36"/>
      <c r="D114" s="36"/>
      <c r="E114" s="36"/>
      <c r="F114" s="36"/>
      <c r="G114" s="36"/>
      <c r="H114" s="37"/>
      <c r="I114" s="37"/>
      <c r="J114" s="37"/>
      <c r="K114" s="100"/>
    </row>
  </sheetData>
  <mergeCells count="1">
    <mergeCell ref="S47:T4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T28"/>
  <sheetViews>
    <sheetView showFormulas="false" showGridLines="true" showRowColHeaders="true" showZeros="true" rightToLeft="false" tabSelected="true" showOutlineSymbols="true" defaultGridColor="true" view="normal" topLeftCell="A9" colorId="64" zoomScale="100" zoomScaleNormal="100" zoomScalePageLayoutView="60" workbookViewId="0">
      <selection pane="topLeft" activeCell="A1" activeCellId="0" sqref="A1"/>
    </sheetView>
  </sheetViews>
  <sheetFormatPr defaultColWidth="8.6875" defaultRowHeight="14.4" zeroHeight="false" outlineLevelRow="0" outlineLevelCol="0"/>
  <cols>
    <col collapsed="false" customWidth="true" hidden="false" outlineLevel="0" max="1" min="1" style="0" width="2.77"/>
    <col collapsed="false" customWidth="true" hidden="false" outlineLevel="0" max="2" min="2" style="0" width="50.78"/>
    <col collapsed="false" customWidth="true" hidden="false" outlineLevel="0" max="6" min="3" style="35" width="10.77"/>
    <col collapsed="false" customWidth="true" hidden="false" outlineLevel="0" max="13" min="12" style="0" width="30.1"/>
    <col collapsed="false" customWidth="true" hidden="false" outlineLevel="0" max="14" min="14" style="0" width="24.56"/>
    <col collapsed="false" customWidth="true" hidden="false" outlineLevel="0" max="19" min="15" style="0" width="12.56"/>
    <col collapsed="false" customWidth="true" hidden="false" outlineLevel="0" max="20" min="20" style="0" width="11.45"/>
  </cols>
  <sheetData>
    <row r="2" customFormat="false" ht="21" hidden="false" customHeight="true" outlineLevel="0" collapsed="false">
      <c r="B2" s="61" t="s">
        <v>223</v>
      </c>
      <c r="K2" s="61" t="s">
        <v>224</v>
      </c>
    </row>
    <row r="4" customFormat="false" ht="14.4" hidden="false" customHeight="false" outlineLevel="0" collapsed="false">
      <c r="B4" s="8" t="s">
        <v>64</v>
      </c>
      <c r="C4" s="8" t="n">
        <v>2027</v>
      </c>
      <c r="D4" s="8" t="n">
        <f aca="false">C4+1</f>
        <v>2028</v>
      </c>
      <c r="E4" s="8" t="n">
        <f aca="false">D4+1</f>
        <v>2029</v>
      </c>
      <c r="F4" s="8" t="n">
        <f aca="false">E4+1</f>
        <v>2030</v>
      </c>
      <c r="G4" s="8" t="n">
        <f aca="false">F4+1</f>
        <v>2031</v>
      </c>
      <c r="H4" s="8" t="n">
        <f aca="false">G4+1</f>
        <v>2032</v>
      </c>
      <c r="I4" s="8" t="n">
        <f aca="false">H4+1</f>
        <v>2033</v>
      </c>
      <c r="J4" s="8" t="n">
        <f aca="false">I4+1</f>
        <v>2034</v>
      </c>
      <c r="K4" s="0" t="s">
        <v>225</v>
      </c>
      <c r="N4" s="31" t="n">
        <v>0.07</v>
      </c>
      <c r="O4" s="0" t="s">
        <v>226</v>
      </c>
    </row>
    <row r="5" customFormat="false" ht="14.4" hidden="false" customHeight="false" outlineLevel="0" collapsed="false">
      <c r="G5" s="15"/>
      <c r="K5" s="0" t="s">
        <v>227</v>
      </c>
      <c r="N5" s="31" t="n">
        <v>0.04</v>
      </c>
      <c r="O5" s="0" t="s">
        <v>228</v>
      </c>
    </row>
    <row r="6" customFormat="false" ht="14.4" hidden="false" customHeight="false" outlineLevel="0" collapsed="false">
      <c r="B6" s="0" t="s">
        <v>118</v>
      </c>
      <c r="C6" s="38" t="n">
        <f aca="false">PL!M18</f>
        <v>2351.16124372285</v>
      </c>
      <c r="D6" s="38" t="n">
        <f aca="false">PL!N18</f>
        <v>2585.3019417921</v>
      </c>
      <c r="E6" s="38" t="n">
        <f aca="false">PL!O18</f>
        <v>2815.62307556327</v>
      </c>
      <c r="F6" s="38" t="n">
        <f aca="false">PL!P18</f>
        <v>3067.74293547935</v>
      </c>
      <c r="K6" s="0" t="s">
        <v>229</v>
      </c>
      <c r="N6" s="150" t="n">
        <f aca="false">'Beta Calculation'!C7</f>
        <v>0.923052671670949</v>
      </c>
    </row>
    <row r="7" customFormat="false" ht="14.4" hidden="false" customHeight="false" outlineLevel="0" collapsed="false">
      <c r="B7" s="0" t="s">
        <v>24</v>
      </c>
      <c r="C7" s="151" t="n">
        <f aca="false">Assumptions!E10</f>
        <v>0.25</v>
      </c>
      <c r="D7" s="151" t="n">
        <f aca="false">Assumptions!F10</f>
        <v>0.25</v>
      </c>
      <c r="E7" s="151" t="n">
        <f aca="false">Assumptions!G10</f>
        <v>0.25</v>
      </c>
      <c r="F7" s="151" t="n">
        <f aca="false">Assumptions!H10</f>
        <v>0.25</v>
      </c>
      <c r="K7" s="0" t="s">
        <v>230</v>
      </c>
      <c r="N7" s="112" t="n">
        <f aca="false">N4+N6*N5</f>
        <v>0.106922106866838</v>
      </c>
      <c r="O7" s="0" t="s">
        <v>231</v>
      </c>
    </row>
    <row r="8" customFormat="false" ht="14.4" hidden="false" customHeight="false" outlineLevel="0" collapsed="false">
      <c r="B8" s="8" t="s">
        <v>232</v>
      </c>
      <c r="C8" s="39" t="n">
        <f aca="false">C6*(1-C7)</f>
        <v>1763.37093279214</v>
      </c>
      <c r="D8" s="39" t="n">
        <f aca="false">D6*(1-D7)</f>
        <v>1938.97645634408</v>
      </c>
      <c r="E8" s="39" t="n">
        <f aca="false">E6*(1-E7)</f>
        <v>2111.71730667245</v>
      </c>
      <c r="F8" s="39" t="n">
        <f aca="false">F6*(1-F7)</f>
        <v>2300.80720160951</v>
      </c>
      <c r="K8" s="0" t="s">
        <v>233</v>
      </c>
      <c r="N8" s="152" t="n">
        <f aca="false">N7</f>
        <v>0.106922106866838</v>
      </c>
      <c r="O8" s="0" t="s">
        <v>234</v>
      </c>
    </row>
    <row r="9" customFormat="false" ht="14.4" hidden="false" customHeight="false" outlineLevel="0" collapsed="false">
      <c r="B9" s="0" t="s">
        <v>235</v>
      </c>
      <c r="C9" s="38" t="n">
        <f aca="false">-PL!M16</f>
        <v>196.162907142857</v>
      </c>
      <c r="D9" s="38" t="n">
        <f aca="false">-PL!N16</f>
        <v>239.188903142857</v>
      </c>
      <c r="E9" s="38" t="n">
        <f aca="false">-PL!O16</f>
        <v>285.099543857143</v>
      </c>
      <c r="F9" s="38" t="n">
        <f aca="false">-PL!P16</f>
        <v>334.043901714286</v>
      </c>
      <c r="N9" s="152"/>
    </row>
    <row r="10" customFormat="false" ht="14.4" hidden="false" customHeight="false" outlineLevel="0" collapsed="false">
      <c r="B10" s="0" t="s">
        <v>169</v>
      </c>
      <c r="C10" s="38" t="n">
        <f aca="false">-'Working Schedules'!H42</f>
        <v>-145.686</v>
      </c>
      <c r="D10" s="38" t="n">
        <f aca="false">-'Working Schedules'!I42</f>
        <v>-159.18</v>
      </c>
      <c r="E10" s="38" t="n">
        <f aca="false">-'Working Schedules'!J42</f>
        <v>-169.815</v>
      </c>
      <c r="F10" s="38" t="n">
        <f aca="false">-'Working Schedules'!K42</f>
        <v>-181.035</v>
      </c>
    </row>
    <row r="11" customFormat="false" ht="14.4" hidden="false" customHeight="false" outlineLevel="0" collapsed="false">
      <c r="B11" s="0" t="s">
        <v>236</v>
      </c>
      <c r="C11" s="38" t="n">
        <f aca="false">-'Working Capital Schedule'!M21</f>
        <v>-401.802934246575</v>
      </c>
      <c r="D11" s="38" t="n">
        <f aca="false">-'Working Capital Schedule'!N21</f>
        <v>-82.5451076821928</v>
      </c>
      <c r="E11" s="38" t="n">
        <f aca="false">-'Working Capital Schedule'!O21</f>
        <v>-232.134789542355</v>
      </c>
      <c r="F11" s="38" t="n">
        <f aca="false">-'Working Capital Schedule'!P21</f>
        <v>-129.511040274369</v>
      </c>
    </row>
    <row r="12" customFormat="false" ht="14.4" hidden="false" customHeight="false" outlineLevel="0" collapsed="false">
      <c r="B12" s="8" t="s">
        <v>237</v>
      </c>
      <c r="C12" s="39" t="n">
        <f aca="false">SUM(C8:C11)</f>
        <v>1412.04490568842</v>
      </c>
      <c r="D12" s="39" t="n">
        <f aca="false">SUM(D8:D11)</f>
        <v>1936.44025180474</v>
      </c>
      <c r="E12" s="39" t="n">
        <f aca="false">SUM(E8:E11)</f>
        <v>1994.86706098724</v>
      </c>
      <c r="F12" s="39" t="n">
        <f aca="false">SUM(F8:F11)</f>
        <v>2324.30506304943</v>
      </c>
      <c r="N12" s="111"/>
    </row>
    <row r="13" customFormat="false" ht="14.4" hidden="false" customHeight="false" outlineLevel="0" collapsed="false">
      <c r="B13" s="0" t="s">
        <v>238</v>
      </c>
      <c r="C13" s="35" t="n">
        <v>1</v>
      </c>
      <c r="D13" s="35" t="n">
        <v>2</v>
      </c>
      <c r="E13" s="35" t="n">
        <v>3</v>
      </c>
      <c r="F13" s="35" t="n">
        <v>4</v>
      </c>
      <c r="N13" s="147"/>
    </row>
    <row r="15" customFormat="false" ht="21" hidden="false" customHeight="true" outlineLevel="0" collapsed="false">
      <c r="B15" s="8" t="s">
        <v>239</v>
      </c>
      <c r="C15" s="39" t="n">
        <f aca="false">C12/(1+$N$8)^C13</f>
        <v>1275.64974710392</v>
      </c>
      <c r="D15" s="39" t="n">
        <f aca="false">D12/(1+$N$8)^D13</f>
        <v>1580.4107658349</v>
      </c>
      <c r="E15" s="39" t="n">
        <f aca="false">E12/(1+$N$8)^E13</f>
        <v>1470.83100527507</v>
      </c>
      <c r="F15" s="39" t="n">
        <f aca="false">F12/(1+$N$8)^F13</f>
        <v>1548.19223211898</v>
      </c>
      <c r="K15" s="61" t="s">
        <v>240</v>
      </c>
    </row>
    <row r="16" customFormat="false" ht="14.4" hidden="false" customHeight="false" outlineLevel="0" collapsed="false">
      <c r="L16" s="153" t="s">
        <v>233</v>
      </c>
      <c r="M16" s="153"/>
      <c r="N16" s="153"/>
      <c r="O16" s="153"/>
      <c r="P16" s="153"/>
      <c r="Q16" s="153"/>
      <c r="R16" s="153"/>
      <c r="S16" s="153"/>
      <c r="T16" s="153"/>
    </row>
    <row r="17" customFormat="false" ht="14.4" hidden="false" customHeight="false" outlineLevel="0" collapsed="false">
      <c r="B17" s="154"/>
      <c r="C17" s="57"/>
      <c r="D17" s="57"/>
      <c r="E17" s="57"/>
      <c r="F17" s="57"/>
      <c r="G17" s="154"/>
      <c r="K17" s="35" t="n">
        <f aca="false">C28</f>
        <v>658.96010388074</v>
      </c>
      <c r="L17" s="50" t="n">
        <v>0.08</v>
      </c>
      <c r="M17" s="50" t="n">
        <f aca="false">L17+0.5%</f>
        <v>0.085</v>
      </c>
      <c r="N17" s="50" t="n">
        <f aca="false">M17+0.5%</f>
        <v>0.09</v>
      </c>
      <c r="O17" s="50" t="n">
        <f aca="false">N17+0.5%</f>
        <v>0.095</v>
      </c>
      <c r="P17" s="50" t="n">
        <f aca="false">O17+0.5%</f>
        <v>0.1</v>
      </c>
      <c r="Q17" s="50" t="n">
        <f aca="false">P17+0.5%</f>
        <v>0.105</v>
      </c>
      <c r="R17" s="50" t="n">
        <f aca="false">Q17+0.5%</f>
        <v>0.11</v>
      </c>
      <c r="S17" s="50" t="n">
        <f aca="false">R17+0.5%</f>
        <v>0.115</v>
      </c>
      <c r="T17" s="50" t="n">
        <f aca="false">S17+0.5%</f>
        <v>0.12</v>
      </c>
    </row>
    <row r="18" customFormat="false" ht="14.4" hidden="false" customHeight="false" outlineLevel="0" collapsed="false">
      <c r="B18" s="0" t="s">
        <v>241</v>
      </c>
      <c r="C18" s="112" t="n">
        <v>0.065</v>
      </c>
      <c r="K18" s="50" t="n">
        <v>0.05</v>
      </c>
      <c r="L18" s="155" t="n">
        <v>945.58</v>
      </c>
      <c r="M18" s="155" t="n">
        <v>814.23</v>
      </c>
      <c r="N18" s="155" t="n">
        <v>715.73</v>
      </c>
      <c r="O18" s="155" t="n">
        <v>639.14</v>
      </c>
      <c r="P18" s="155" t="n">
        <v>577.89</v>
      </c>
      <c r="Q18" s="155" t="n">
        <v>527.78</v>
      </c>
      <c r="R18" s="155" t="n">
        <v>486.04</v>
      </c>
      <c r="S18" s="155" t="n">
        <v>450.73</v>
      </c>
      <c r="T18" s="155" t="n">
        <v>420.48</v>
      </c>
    </row>
    <row r="19" customFormat="false" ht="14.4" hidden="false" customHeight="false" outlineLevel="0" collapsed="false">
      <c r="B19" s="0" t="s">
        <v>242</v>
      </c>
      <c r="C19" s="111" t="n">
        <f aca="false">F12</f>
        <v>2324.30506304943</v>
      </c>
      <c r="K19" s="50" t="n">
        <f aca="false">K18+0.5%</f>
        <v>0.055</v>
      </c>
      <c r="L19" s="155" t="n">
        <v>1114.69</v>
      </c>
      <c r="M19" s="155" t="n">
        <v>933.36</v>
      </c>
      <c r="N19" s="155" t="n">
        <v>803.86</v>
      </c>
      <c r="O19" s="155" t="n">
        <v>706.75</v>
      </c>
      <c r="P19" s="155" t="n">
        <v>631.24</v>
      </c>
      <c r="Q19" s="155" t="n">
        <v>570.84</v>
      </c>
      <c r="R19" s="155" t="n">
        <v>521.44</v>
      </c>
      <c r="S19" s="155" t="n">
        <v>480.29</v>
      </c>
      <c r="T19" s="155" t="n">
        <v>445.47</v>
      </c>
    </row>
    <row r="20" customFormat="false" ht="14.4" hidden="false" customHeight="false" outlineLevel="0" collapsed="false">
      <c r="B20" s="8" t="s">
        <v>243</v>
      </c>
      <c r="C20" s="39" t="n">
        <f aca="false">C19*(1+C18)/(N8-C18)</f>
        <v>59047.2444529206</v>
      </c>
      <c r="K20" s="50" t="n">
        <f aca="false">K19+0.5%</f>
        <v>0.06</v>
      </c>
      <c r="L20" s="155" t="n">
        <v>1368.35</v>
      </c>
      <c r="M20" s="155" t="n">
        <v>1100.14</v>
      </c>
      <c r="N20" s="155" t="n">
        <v>921.35</v>
      </c>
      <c r="O20" s="155" t="n">
        <v>793.67</v>
      </c>
      <c r="P20" s="155" t="n">
        <v>697.92</v>
      </c>
      <c r="Q20" s="155" t="n">
        <v>623.47</v>
      </c>
      <c r="R20" s="155" t="n">
        <v>563.92</v>
      </c>
      <c r="S20" s="155" t="n">
        <v>515.21</v>
      </c>
      <c r="T20" s="155" t="n">
        <v>474.63</v>
      </c>
    </row>
    <row r="21" customFormat="false" ht="14.4" hidden="false" customHeight="false" outlineLevel="0" collapsed="false">
      <c r="B21" s="0" t="s">
        <v>244</v>
      </c>
      <c r="C21" s="35" t="n">
        <f aca="false">C20/(1+N8)^F13</f>
        <v>39330.6742059522</v>
      </c>
      <c r="K21" s="50" t="n">
        <f aca="false">K20+0.5%</f>
        <v>0.065</v>
      </c>
      <c r="L21" s="155" t="n">
        <v>1791.11</v>
      </c>
      <c r="M21" s="155" t="n">
        <v>1350.3</v>
      </c>
      <c r="N21" s="155" t="n">
        <v>1085.84</v>
      </c>
      <c r="O21" s="155" t="n">
        <v>909.56</v>
      </c>
      <c r="P21" s="155" t="n">
        <v>783.66</v>
      </c>
      <c r="Q21" s="155" t="n">
        <v>689.26</v>
      </c>
      <c r="R21" s="155" t="n">
        <v>615.84</v>
      </c>
      <c r="S21" s="155" t="n">
        <v>557.12</v>
      </c>
      <c r="T21" s="155" t="n">
        <v>509.09</v>
      </c>
    </row>
    <row r="22" customFormat="false" ht="14.4" hidden="false" customHeight="false" outlineLevel="0" collapsed="false">
      <c r="B22" s="0" t="s">
        <v>245</v>
      </c>
      <c r="C22" s="35" t="n">
        <f aca="false">SUM(C15:F15)</f>
        <v>5875.08375033287</v>
      </c>
      <c r="K22" s="50" t="n">
        <f aca="false">K21+0.5%</f>
        <v>0.07</v>
      </c>
      <c r="L22" s="155" t="n">
        <v>2636.64</v>
      </c>
      <c r="M22" s="155" t="n">
        <v>1767.25</v>
      </c>
      <c r="N22" s="155" t="n">
        <v>1332.58</v>
      </c>
      <c r="O22" s="155" t="n">
        <v>1071.81</v>
      </c>
      <c r="P22" s="155" t="n">
        <v>897.98</v>
      </c>
      <c r="Q22" s="155" t="n">
        <v>773.84</v>
      </c>
      <c r="R22" s="155" t="n">
        <v>680.74</v>
      </c>
      <c r="S22" s="155" t="n">
        <v>608.35</v>
      </c>
      <c r="T22" s="155" t="n">
        <v>550.44</v>
      </c>
    </row>
    <row r="23" customFormat="false" ht="14.4" hidden="false" customHeight="false" outlineLevel="0" collapsed="false">
      <c r="B23" s="8" t="s">
        <v>246</v>
      </c>
      <c r="C23" s="39" t="n">
        <f aca="false">C21+C22</f>
        <v>45205.757956285</v>
      </c>
      <c r="K23" s="50" t="n">
        <f aca="false">K22+0.5%</f>
        <v>0.075</v>
      </c>
      <c r="L23" s="155" t="n">
        <v>5173.22</v>
      </c>
      <c r="M23" s="155" t="n">
        <v>2601.14</v>
      </c>
      <c r="N23" s="155" t="n">
        <v>1743.82</v>
      </c>
      <c r="O23" s="155" t="n">
        <v>1315.19</v>
      </c>
      <c r="P23" s="155" t="n">
        <v>1058.03</v>
      </c>
      <c r="Q23" s="155" t="n">
        <v>886.61</v>
      </c>
      <c r="R23" s="155" t="n">
        <v>764.19</v>
      </c>
      <c r="S23" s="155" t="n">
        <v>672.38</v>
      </c>
      <c r="T23" s="155" t="n">
        <v>600.99</v>
      </c>
    </row>
    <row r="24" customFormat="false" ht="14.4" hidden="false" customHeight="false" outlineLevel="0" collapsed="false">
      <c r="B24" s="0" t="s">
        <v>247</v>
      </c>
      <c r="C24" s="35" t="n">
        <f aca="false">BS!L45</f>
        <v>3134</v>
      </c>
      <c r="K24" s="50" t="n">
        <f aca="false">K23+0.5%</f>
        <v>0.08</v>
      </c>
      <c r="L24" s="155"/>
      <c r="M24" s="155" t="n">
        <v>5102.81</v>
      </c>
      <c r="N24" s="155" t="n">
        <v>2566.29</v>
      </c>
      <c r="O24" s="155" t="n">
        <v>1720.81</v>
      </c>
      <c r="P24" s="155" t="n">
        <v>1298.1</v>
      </c>
      <c r="Q24" s="155" t="n">
        <v>1044.5</v>
      </c>
      <c r="R24" s="155" t="n">
        <v>875.44</v>
      </c>
      <c r="S24" s="155" t="n">
        <v>754.71</v>
      </c>
      <c r="T24" s="155" t="n">
        <v>664.16</v>
      </c>
    </row>
    <row r="25" customFormat="false" ht="14.4" hidden="false" customHeight="false" outlineLevel="0" collapsed="false">
      <c r="B25" s="0" t="s">
        <v>248</v>
      </c>
      <c r="C25" s="35" t="n">
        <f aca="false">-BS!L17</f>
        <v>-407</v>
      </c>
      <c r="K25" s="50" t="n">
        <f aca="false">K24+0.5%</f>
        <v>0.085</v>
      </c>
      <c r="L25" s="155"/>
      <c r="M25" s="155"/>
      <c r="N25" s="155" t="n">
        <v>5033.69</v>
      </c>
      <c r="O25" s="155" t="n">
        <v>2532.07</v>
      </c>
      <c r="P25" s="155" t="n">
        <v>1698.22</v>
      </c>
      <c r="Q25" s="155" t="n">
        <v>1281.33</v>
      </c>
      <c r="R25" s="155" t="n">
        <v>1031.21</v>
      </c>
      <c r="S25" s="155" t="n">
        <v>864.47</v>
      </c>
      <c r="T25" s="155" t="n">
        <v>745.39</v>
      </c>
    </row>
    <row r="26" customFormat="false" ht="14.4" hidden="false" customHeight="false" outlineLevel="0" collapsed="false">
      <c r="B26" s="8" t="s">
        <v>249</v>
      </c>
      <c r="C26" s="39" t="n">
        <f aca="false">SUM(C23:C25)</f>
        <v>47932.7579562851</v>
      </c>
      <c r="K26" s="50" t="n">
        <f aca="false">K25+0.5%</f>
        <v>0.09</v>
      </c>
      <c r="L26" s="155"/>
      <c r="M26" s="155"/>
      <c r="N26" s="155"/>
      <c r="O26" s="155" t="n">
        <v>4965.83</v>
      </c>
      <c r="P26" s="155" t="n">
        <v>2498.46</v>
      </c>
      <c r="Q26" s="155" t="n">
        <v>1676.04</v>
      </c>
      <c r="R26" s="155" t="n">
        <v>1264.85</v>
      </c>
      <c r="S26" s="155" t="n">
        <v>1018.15</v>
      </c>
      <c r="T26" s="155" t="n">
        <v>853.7</v>
      </c>
    </row>
    <row r="27" customFormat="false" ht="14.4" hidden="false" customHeight="false" outlineLevel="0" collapsed="false">
      <c r="B27" s="0" t="s">
        <v>250</v>
      </c>
      <c r="C27" s="35" t="n">
        <v>72.74</v>
      </c>
    </row>
    <row r="28" customFormat="false" ht="14.4" hidden="false" customHeight="false" outlineLevel="0" collapsed="false">
      <c r="B28" s="0" t="s">
        <v>251</v>
      </c>
      <c r="C28" s="35" t="n">
        <f aca="false">C26/C27</f>
        <v>658.96010388074</v>
      </c>
    </row>
  </sheetData>
  <mergeCells count="1">
    <mergeCell ref="L16:T1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L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875" defaultRowHeight="15" zeroHeight="false" outlineLevelRow="0" outlineLevelCol="0"/>
  <cols>
    <col collapsed="false" customWidth="true" hidden="false" outlineLevel="0" max="2" min="2" style="0" width="37.99"/>
    <col collapsed="false" customWidth="true" hidden="false" outlineLevel="0" max="3" min="3" style="0" width="10"/>
    <col collapsed="false" customWidth="true" hidden="false" outlineLevel="0" max="4" min="4" style="0" width="10.99"/>
    <col collapsed="false" customWidth="true" hidden="false" outlineLevel="0" max="12" min="5" style="0" width="10"/>
  </cols>
  <sheetData>
    <row r="1" customFormat="false" ht="15" hidden="false" customHeight="false" outlineLevel="0" collapsed="false">
      <c r="B1" s="156" t="s">
        <v>252</v>
      </c>
    </row>
    <row r="2" customFormat="false" ht="15" hidden="false" customHeight="false" outlineLevel="0" collapsed="false">
      <c r="B2" s="157" t="s">
        <v>253</v>
      </c>
    </row>
    <row r="4" customFormat="false" ht="15" hidden="false" customHeight="false" outlineLevel="0" collapsed="false">
      <c r="B4" s="158" t="s">
        <v>254</v>
      </c>
      <c r="C4" s="159"/>
      <c r="D4" s="159"/>
    </row>
    <row r="5" customFormat="false" ht="15" hidden="false" customHeight="false" outlineLevel="0" collapsed="false">
      <c r="B5" s="0" t="s">
        <v>255</v>
      </c>
      <c r="C5" s="160" t="n">
        <v>0.07</v>
      </c>
      <c r="D5" s="157" t="s">
        <v>256</v>
      </c>
    </row>
    <row r="6" customFormat="false" ht="15" hidden="false" customHeight="false" outlineLevel="0" collapsed="false">
      <c r="B6" s="0" t="s">
        <v>257</v>
      </c>
      <c r="C6" s="160" t="n">
        <v>0.04</v>
      </c>
      <c r="D6" s="157" t="s">
        <v>258</v>
      </c>
    </row>
    <row r="7" customFormat="false" ht="15" hidden="false" customHeight="false" outlineLevel="0" collapsed="false">
      <c r="B7" s="0" t="s">
        <v>259</v>
      </c>
      <c r="C7" s="161" t="n">
        <v>0.8</v>
      </c>
      <c r="D7" s="157" t="s">
        <v>260</v>
      </c>
    </row>
    <row r="8" customFormat="false" ht="15" hidden="false" customHeight="false" outlineLevel="0" collapsed="false">
      <c r="B8" s="0" t="s">
        <v>261</v>
      </c>
      <c r="C8" s="162" t="n">
        <f aca="false">C5+C7*C6</f>
        <v>0.102</v>
      </c>
      <c r="D8" s="157" t="s">
        <v>262</v>
      </c>
    </row>
    <row r="9" customFormat="false" ht="15" hidden="false" customHeight="false" outlineLevel="0" collapsed="false">
      <c r="B9" s="0" t="s">
        <v>233</v>
      </c>
      <c r="C9" s="163" t="n">
        <f aca="false">C8</f>
        <v>0.102</v>
      </c>
      <c r="D9" s="157" t="s">
        <v>263</v>
      </c>
    </row>
    <row r="10" customFormat="false" ht="15" hidden="false" customHeight="false" outlineLevel="0" collapsed="false">
      <c r="B10" s="0" t="s">
        <v>264</v>
      </c>
      <c r="C10" s="160" t="n">
        <v>0.065</v>
      </c>
      <c r="D10" s="157" t="s">
        <v>256</v>
      </c>
    </row>
    <row r="11" customFormat="false" ht="15" hidden="false" customHeight="false" outlineLevel="0" collapsed="false">
      <c r="B11" s="0" t="s">
        <v>265</v>
      </c>
      <c r="C11" s="164" t="n">
        <v>0.25</v>
      </c>
    </row>
    <row r="12" customFormat="false" ht="15" hidden="false" customHeight="false" outlineLevel="0" collapsed="false">
      <c r="B12" s="0" t="s">
        <v>266</v>
      </c>
      <c r="C12" s="15" t="n">
        <f aca="false">-PL!P16/PL!P5</f>
        <v>0.0198803387119874</v>
      </c>
      <c r="D12" s="157" t="s">
        <v>267</v>
      </c>
    </row>
    <row r="13" customFormat="false" ht="15" hidden="false" customHeight="false" outlineLevel="0" collapsed="false">
      <c r="B13" s="0" t="s">
        <v>268</v>
      </c>
      <c r="C13" s="15" t="n">
        <f aca="false">'Working Capital Schedule'!P20/PL!P5</f>
        <v>0.18949268734543</v>
      </c>
    </row>
    <row r="15" customFormat="false" ht="15" hidden="false" customHeight="false" outlineLevel="0" collapsed="false">
      <c r="B15" s="158" t="s">
        <v>269</v>
      </c>
      <c r="C15" s="165" t="n">
        <v>2027</v>
      </c>
      <c r="D15" s="165" t="n">
        <v>2028</v>
      </c>
      <c r="E15" s="165" t="n">
        <v>2029</v>
      </c>
      <c r="F15" s="165" t="n">
        <v>2030</v>
      </c>
      <c r="G15" s="165" t="n">
        <v>2031</v>
      </c>
      <c r="H15" s="165" t="n">
        <v>2032</v>
      </c>
      <c r="I15" s="165" t="n">
        <v>2033</v>
      </c>
      <c r="J15" s="165" t="n">
        <v>2034</v>
      </c>
      <c r="K15" s="165" t="n">
        <v>2035</v>
      </c>
      <c r="L15" s="165" t="n">
        <v>2036</v>
      </c>
    </row>
    <row r="16" customFormat="false" ht="15" hidden="false" customHeight="false" outlineLevel="0" collapsed="false">
      <c r="B16" s="166" t="s">
        <v>270</v>
      </c>
      <c r="C16" s="167" t="s">
        <v>271</v>
      </c>
      <c r="D16" s="167" t="s">
        <v>271</v>
      </c>
      <c r="E16" s="167" t="s">
        <v>271</v>
      </c>
      <c r="F16" s="167" t="s">
        <v>271</v>
      </c>
      <c r="G16" s="167" t="s">
        <v>272</v>
      </c>
      <c r="H16" s="167" t="s">
        <v>272</v>
      </c>
      <c r="I16" s="167" t="s">
        <v>272</v>
      </c>
      <c r="J16" s="167" t="s">
        <v>272</v>
      </c>
      <c r="K16" s="167" t="s">
        <v>272</v>
      </c>
      <c r="L16" s="167" t="s">
        <v>272</v>
      </c>
    </row>
    <row r="17" customFormat="false" ht="15" hidden="false" customHeight="false" outlineLevel="0" collapsed="false">
      <c r="B17" s="0" t="s">
        <v>273</v>
      </c>
      <c r="C17" s="168" t="n">
        <f aca="false">PL!M5/PL!L5-1</f>
        <v>0.0900000000000001</v>
      </c>
      <c r="D17" s="168" t="n">
        <f aca="false">PL!N5/PL!M5-1</f>
        <v>0.0800000000000001</v>
      </c>
      <c r="E17" s="168" t="n">
        <f aca="false">PL!O5/PL!N5-1</f>
        <v>0.0700000000000001</v>
      </c>
      <c r="F17" s="168" t="n">
        <f aca="false">PL!P5/PL!O5-1</f>
        <v>0.0700000000000001</v>
      </c>
      <c r="G17" s="169" t="n">
        <v>0.07</v>
      </c>
      <c r="H17" s="169" t="n">
        <v>0.069</v>
      </c>
      <c r="I17" s="169" t="n">
        <v>0.068</v>
      </c>
      <c r="J17" s="169" t="n">
        <v>0.067</v>
      </c>
      <c r="K17" s="169" t="n">
        <v>0.066</v>
      </c>
      <c r="L17" s="169" t="n">
        <v>0.065</v>
      </c>
    </row>
    <row r="18" customFormat="false" ht="15" hidden="false" customHeight="false" outlineLevel="0" collapsed="false">
      <c r="B18" s="0" t="s">
        <v>274</v>
      </c>
      <c r="C18" s="168" t="n">
        <f aca="false">PL!M15/PL!M5</f>
        <v>0.187454450454941</v>
      </c>
      <c r="D18" s="168" t="n">
        <f aca="false">PL!N15/PL!N5</f>
        <v>0.192454450454941</v>
      </c>
      <c r="E18" s="168" t="n">
        <f aca="false">PL!O15/PL!O5</f>
        <v>0.197454450454941</v>
      </c>
      <c r="F18" s="168" t="n">
        <f aca="false">PL!P15/PL!P5</f>
        <v>0.202454450454941</v>
      </c>
      <c r="G18" s="169" t="n">
        <v>0.207</v>
      </c>
      <c r="H18" s="169" t="n">
        <v>0.211</v>
      </c>
      <c r="I18" s="169" t="n">
        <v>0.214</v>
      </c>
      <c r="J18" s="169" t="n">
        <v>0.217</v>
      </c>
      <c r="K18" s="169" t="n">
        <v>0.219</v>
      </c>
      <c r="L18" s="169" t="n">
        <v>0.22</v>
      </c>
    </row>
    <row r="19" customFormat="false" ht="15" hidden="false" customHeight="false" outlineLevel="0" collapsed="false">
      <c r="B19" s="0" t="s">
        <v>100</v>
      </c>
      <c r="C19" s="155" t="n">
        <f aca="false">PL!M5</f>
        <v>13589.03</v>
      </c>
      <c r="D19" s="155" t="n">
        <f aca="false">PL!N5</f>
        <v>14676.1524</v>
      </c>
      <c r="E19" s="155" t="n">
        <f aca="false">PL!O5</f>
        <v>15703.483068</v>
      </c>
      <c r="F19" s="155" t="n">
        <f aca="false">PL!P5</f>
        <v>16802.72688276</v>
      </c>
      <c r="G19" s="155" t="n">
        <f aca="false">F19*(1+G17)</f>
        <v>17978.9177645532</v>
      </c>
      <c r="H19" s="155" t="n">
        <f aca="false">G19*(1+H17)</f>
        <v>19219.4630903074</v>
      </c>
      <c r="I19" s="155" t="n">
        <f aca="false">H19*(1+I17)</f>
        <v>20526.3865804483</v>
      </c>
      <c r="J19" s="155" t="n">
        <f aca="false">I19*(1+J17)</f>
        <v>21901.6544813383</v>
      </c>
      <c r="K19" s="155" t="n">
        <f aca="false">J19*(1+K17)</f>
        <v>23347.1636771066</v>
      </c>
      <c r="L19" s="155" t="n">
        <f aca="false">K19*(1+L17)</f>
        <v>24864.7293161186</v>
      </c>
    </row>
    <row r="20" customFormat="false" ht="15" hidden="false" customHeight="false" outlineLevel="0" collapsed="false">
      <c r="B20" s="0" t="s">
        <v>118</v>
      </c>
      <c r="C20" s="155" t="n">
        <f aca="false">PL!M18</f>
        <v>2351.16124372285</v>
      </c>
      <c r="D20" s="155" t="n">
        <f aca="false">PL!N18</f>
        <v>2585.3019417921</v>
      </c>
      <c r="E20" s="155" t="n">
        <f aca="false">PL!O18</f>
        <v>2815.62307556327</v>
      </c>
      <c r="F20" s="155" t="n">
        <f aca="false">PL!P18</f>
        <v>3067.74293547935</v>
      </c>
      <c r="G20" s="155" t="n">
        <f aca="false">G19*(G18-$C$12)</f>
        <v>3364.20900242823</v>
      </c>
      <c r="H20" s="155" t="n">
        <f aca="false">H19*(H18-$C$12)</f>
        <v>3673.217275957</v>
      </c>
      <c r="I20" s="155" t="n">
        <f aca="false">I19*(I18-$C$12)</f>
        <v>3984.57521046343</v>
      </c>
      <c r="J20" s="155" t="n">
        <f aca="false">J19*(J18-$C$12)</f>
        <v>4317.24671300849</v>
      </c>
      <c r="K20" s="155" t="n">
        <f aca="false">K19*(K18-$C$12)</f>
        <v>4648.87932342126</v>
      </c>
      <c r="L20" s="155" t="n">
        <f aca="false">L19*(L18-$C$12)</f>
        <v>4975.92120875976</v>
      </c>
    </row>
    <row r="21" customFormat="false" ht="15" hidden="false" customHeight="false" outlineLevel="0" collapsed="false">
      <c r="B21" s="0" t="s">
        <v>275</v>
      </c>
      <c r="C21" s="155" t="n">
        <f aca="false">C20*(1-$C$11)</f>
        <v>1763.37093279214</v>
      </c>
      <c r="D21" s="155" t="n">
        <f aca="false">D20*(1-$C$11)</f>
        <v>1938.97645634408</v>
      </c>
      <c r="E21" s="155" t="n">
        <f aca="false">E20*(1-$C$11)</f>
        <v>2111.71730667245</v>
      </c>
      <c r="F21" s="155" t="n">
        <f aca="false">F20*(1-$C$11)</f>
        <v>2300.80720160951</v>
      </c>
      <c r="G21" s="155" t="n">
        <f aca="false">G20*(1-$C$11)</f>
        <v>2523.15675182117</v>
      </c>
      <c r="H21" s="155" t="n">
        <f aca="false">H20*(1-$C$11)</f>
        <v>2754.91295696775</v>
      </c>
      <c r="I21" s="155" t="n">
        <f aca="false">I20*(1-$C$11)</f>
        <v>2988.43140784757</v>
      </c>
      <c r="J21" s="155" t="n">
        <f aca="false">J20*(1-$C$11)</f>
        <v>3237.93503475637</v>
      </c>
      <c r="K21" s="155" t="n">
        <f aca="false">K20*(1-$C$11)</f>
        <v>3486.65949256595</v>
      </c>
      <c r="L21" s="155" t="n">
        <f aca="false">L20*(1-$C$11)</f>
        <v>3731.94090656982</v>
      </c>
    </row>
    <row r="22" customFormat="false" ht="15" hidden="false" customHeight="false" outlineLevel="0" collapsed="false">
      <c r="B22" s="0" t="s">
        <v>276</v>
      </c>
      <c r="C22" s="155" t="n">
        <f aca="false">-PL!M16</f>
        <v>196.162907142857</v>
      </c>
      <c r="D22" s="155" t="n">
        <f aca="false">-PL!N16</f>
        <v>239.188903142857</v>
      </c>
      <c r="E22" s="155" t="n">
        <f aca="false">-PL!O16</f>
        <v>285.099543857143</v>
      </c>
      <c r="F22" s="155" t="n">
        <f aca="false">-PL!P16</f>
        <v>334.043901714286</v>
      </c>
      <c r="G22" s="155" t="n">
        <f aca="false">G19*$C$12</f>
        <v>357.426974834286</v>
      </c>
      <c r="H22" s="155" t="n">
        <f aca="false">H19*$C$12</f>
        <v>382.089436097851</v>
      </c>
      <c r="I22" s="155" t="n">
        <f aca="false">I19*$C$12</f>
        <v>408.071517752505</v>
      </c>
      <c r="J22" s="155" t="n">
        <f aca="false">J19*$C$12</f>
        <v>435.412309441923</v>
      </c>
      <c r="K22" s="155" t="n">
        <f aca="false">K19*$C$12</f>
        <v>464.14952186509</v>
      </c>
      <c r="L22" s="155" t="n">
        <f aca="false">L19*$C$12</f>
        <v>494.319240786321</v>
      </c>
    </row>
    <row r="23" customFormat="false" ht="15" hidden="false" customHeight="false" outlineLevel="0" collapsed="false">
      <c r="B23" s="0" t="s">
        <v>277</v>
      </c>
      <c r="C23" s="155" t="n">
        <f aca="false">-'Working Schedules'!H42</f>
        <v>-145.686</v>
      </c>
      <c r="D23" s="155" t="n">
        <f aca="false">-'Working Schedules'!I42</f>
        <v>-159.18</v>
      </c>
      <c r="E23" s="155" t="n">
        <f aca="false">-'Working Schedules'!J42</f>
        <v>-169.815</v>
      </c>
      <c r="F23" s="155" t="n">
        <f aca="false">-'Working Schedules'!K42</f>
        <v>-181.035</v>
      </c>
      <c r="G23" s="155" t="n">
        <f aca="false">-G22</f>
        <v>-357.426974834286</v>
      </c>
      <c r="H23" s="155" t="n">
        <f aca="false">-H22</f>
        <v>-382.089436097851</v>
      </c>
      <c r="I23" s="155" t="n">
        <f aca="false">-I22</f>
        <v>-408.071517752505</v>
      </c>
      <c r="J23" s="155" t="n">
        <f aca="false">-J22</f>
        <v>-435.412309441923</v>
      </c>
      <c r="K23" s="155" t="n">
        <f aca="false">-K22</f>
        <v>-464.14952186509</v>
      </c>
      <c r="L23" s="155" t="n">
        <f aca="false">-L22</f>
        <v>-494.319240786321</v>
      </c>
    </row>
    <row r="24" customFormat="false" ht="15" hidden="false" customHeight="false" outlineLevel="0" collapsed="false">
      <c r="B24" s="0" t="s">
        <v>278</v>
      </c>
      <c r="C24" s="155" t="n">
        <f aca="false">-'Working Schedules'!H52</f>
        <v>-213.6728</v>
      </c>
      <c r="D24" s="155" t="n">
        <f aca="false">-'Working Schedules'!I52</f>
        <v>-233.464</v>
      </c>
      <c r="E24" s="155" t="n">
        <f aca="false">-'Working Schedules'!J52</f>
        <v>-249.062</v>
      </c>
      <c r="F24" s="155" t="n">
        <f aca="false">-'Working Schedules'!K52</f>
        <v>-265.518</v>
      </c>
      <c r="G24" s="155" t="n">
        <v>0</v>
      </c>
      <c r="H24" s="155" t="n">
        <v>0</v>
      </c>
      <c r="I24" s="155" t="n">
        <v>0</v>
      </c>
      <c r="J24" s="155" t="n">
        <v>0</v>
      </c>
      <c r="K24" s="155" t="n">
        <v>0</v>
      </c>
      <c r="L24" s="155" t="n">
        <v>0</v>
      </c>
    </row>
    <row r="25" customFormat="false" ht="15" hidden="false" customHeight="false" outlineLevel="0" collapsed="false">
      <c r="B25" s="0" t="s">
        <v>279</v>
      </c>
      <c r="C25" s="155" t="n">
        <f aca="false">-'Working Capital Schedule'!M21</f>
        <v>-401.802934246575</v>
      </c>
      <c r="D25" s="155" t="n">
        <f aca="false">-'Working Capital Schedule'!N21</f>
        <v>-82.5451076821928</v>
      </c>
      <c r="E25" s="155" t="n">
        <f aca="false">-'Working Capital Schedule'!O21</f>
        <v>-232.134789542355</v>
      </c>
      <c r="F25" s="155" t="n">
        <f aca="false">-'Working Capital Schedule'!P21</f>
        <v>-129.511040274369</v>
      </c>
      <c r="G25" s="155" t="n">
        <f aca="false">-$C$13*(G19-F19)</f>
        <v>-222.879571022185</v>
      </c>
      <c r="H25" s="155" t="n">
        <f aca="false">-$C$13*(H19-G19)</f>
        <v>-235.07426755097</v>
      </c>
      <c r="I25" s="155" t="n">
        <f aca="false">-$C$13*(I19-H19)</f>
        <v>-247.652444301668</v>
      </c>
      <c r="J25" s="155" t="n">
        <f aca="false">-$C$13*(J19-I19)</f>
        <v>-260.603210359561</v>
      </c>
      <c r="K25" s="155" t="n">
        <f aca="false">-$C$13*(K19-J19)</f>
        <v>-273.913422088672</v>
      </c>
      <c r="L25" s="155" t="n">
        <f aca="false">-$C$13*(L19-K19)</f>
        <v>-287.567591159455</v>
      </c>
    </row>
    <row r="26" customFormat="false" ht="15" hidden="false" customHeight="false" outlineLevel="0" collapsed="false">
      <c r="B26" s="170" t="s">
        <v>280</v>
      </c>
      <c r="C26" s="171" t="n">
        <f aca="false">SUM(C21:C25)</f>
        <v>1198.37210568842</v>
      </c>
      <c r="D26" s="171" t="n">
        <f aca="false">SUM(D21:D25)</f>
        <v>1702.97625180474</v>
      </c>
      <c r="E26" s="171" t="n">
        <f aca="false">SUM(E21:E25)</f>
        <v>1745.80506098724</v>
      </c>
      <c r="F26" s="171" t="n">
        <f aca="false">SUM(F21:F25)</f>
        <v>2058.78706304943</v>
      </c>
      <c r="G26" s="171" t="n">
        <f aca="false">SUM(G21:G25)</f>
        <v>2300.27718079899</v>
      </c>
      <c r="H26" s="171" t="n">
        <f aca="false">SUM(H21:H25)</f>
        <v>2519.83868941678</v>
      </c>
      <c r="I26" s="171" t="n">
        <f aca="false">SUM(I21:I25)</f>
        <v>2740.7789635459</v>
      </c>
      <c r="J26" s="171" t="n">
        <f aca="false">SUM(J21:J25)</f>
        <v>2977.33182439681</v>
      </c>
      <c r="K26" s="171" t="n">
        <f aca="false">SUM(K21:K25)</f>
        <v>3212.74607047728</v>
      </c>
      <c r="L26" s="171" t="n">
        <f aca="false">SUM(L21:L25)</f>
        <v>3444.37331541037</v>
      </c>
    </row>
    <row r="27" customFormat="false" ht="15" hidden="false" customHeight="false" outlineLevel="0" collapsed="false">
      <c r="B27" s="0" t="s">
        <v>281</v>
      </c>
      <c r="C27" s="172" t="n">
        <v>1</v>
      </c>
      <c r="D27" s="172" t="n">
        <v>2</v>
      </c>
      <c r="E27" s="172" t="n">
        <v>3</v>
      </c>
      <c r="F27" s="172" t="n">
        <v>4</v>
      </c>
      <c r="G27" s="172" t="n">
        <v>5</v>
      </c>
      <c r="H27" s="172" t="n">
        <v>6</v>
      </c>
      <c r="I27" s="172" t="n">
        <v>7</v>
      </c>
      <c r="J27" s="172" t="n">
        <v>8</v>
      </c>
      <c r="K27" s="172" t="n">
        <v>9</v>
      </c>
      <c r="L27" s="172" t="n">
        <v>10</v>
      </c>
    </row>
    <row r="28" customFormat="false" ht="15" hidden="false" customHeight="false" outlineLevel="0" collapsed="false">
      <c r="B28" s="0" t="s">
        <v>282</v>
      </c>
      <c r="C28" s="155" t="n">
        <f aca="false">C26/(1+$C$9)^C27</f>
        <v>1087.45200153214</v>
      </c>
      <c r="D28" s="155" t="n">
        <f aca="false">D26/(1+$C$9)^D27</f>
        <v>1402.31442897482</v>
      </c>
      <c r="E28" s="155" t="n">
        <f aca="false">E26/(1+$C$9)^E27</f>
        <v>1304.52066928567</v>
      </c>
      <c r="F28" s="155" t="n">
        <f aca="false">F26/(1+$C$9)^F27</f>
        <v>1395.99882426155</v>
      </c>
      <c r="G28" s="155" t="n">
        <f aca="false">G26/(1+$C$9)^G27</f>
        <v>1415.37721047656</v>
      </c>
      <c r="H28" s="155" t="n">
        <f aca="false">H26/(1+$C$9)^H27</f>
        <v>1406.96460710927</v>
      </c>
      <c r="I28" s="155" t="n">
        <f aca="false">I26/(1+$C$9)^I27</f>
        <v>1388.68214202021</v>
      </c>
      <c r="J28" s="155" t="n">
        <f aca="false">J26/(1+$C$9)^J27</f>
        <v>1368.90869943711</v>
      </c>
      <c r="K28" s="155" t="n">
        <f aca="false">K26/(1+$C$9)^K27</f>
        <v>1340.42355323894</v>
      </c>
      <c r="L28" s="155" t="n">
        <f aca="false">L26/(1+$C$9)^L27</f>
        <v>1304.05008207182</v>
      </c>
    </row>
    <row r="30" customFormat="false" ht="15" hidden="false" customHeight="false" outlineLevel="0" collapsed="false">
      <c r="B30" s="158" t="s">
        <v>283</v>
      </c>
      <c r="C30" s="159"/>
      <c r="D30" s="159"/>
    </row>
    <row r="31" customFormat="false" ht="15" hidden="false" customHeight="false" outlineLevel="0" collapsed="false">
      <c r="B31" s="0" t="s">
        <v>284</v>
      </c>
      <c r="C31" s="155" t="n">
        <f aca="false">L26*(1+C10)/(C9-C10)</f>
        <v>99142.0967814065</v>
      </c>
    </row>
    <row r="32" customFormat="false" ht="15" hidden="false" customHeight="false" outlineLevel="0" collapsed="false">
      <c r="B32" s="0" t="s">
        <v>244</v>
      </c>
      <c r="C32" s="155" t="n">
        <f aca="false">C31/(1+C9)^L27</f>
        <v>37535.4956055808</v>
      </c>
    </row>
    <row r="34" customFormat="false" ht="15" hidden="false" customHeight="false" outlineLevel="0" collapsed="false">
      <c r="B34" s="158" t="s">
        <v>285</v>
      </c>
      <c r="C34" s="159"/>
      <c r="D34" s="159"/>
    </row>
    <row r="35" customFormat="false" ht="15" hidden="false" customHeight="false" outlineLevel="0" collapsed="false">
      <c r="B35" s="0" t="s">
        <v>286</v>
      </c>
      <c r="C35" s="155" t="n">
        <f aca="false">SUM(C28:L28)</f>
        <v>13414.6922184081</v>
      </c>
    </row>
    <row r="36" customFormat="false" ht="15" hidden="false" customHeight="false" outlineLevel="0" collapsed="false">
      <c r="B36" s="0" t="s">
        <v>244</v>
      </c>
      <c r="C36" s="155" t="n">
        <f aca="false">C32</f>
        <v>37535.4956055808</v>
      </c>
    </row>
    <row r="37" customFormat="false" ht="15" hidden="false" customHeight="false" outlineLevel="0" collapsed="false">
      <c r="B37" s="170" t="s">
        <v>246</v>
      </c>
      <c r="C37" s="173" t="n">
        <f aca="false">C35+C36</f>
        <v>50950.1878239889</v>
      </c>
    </row>
    <row r="38" customFormat="false" ht="15" hidden="false" customHeight="false" outlineLevel="0" collapsed="false">
      <c r="B38" s="0" t="s">
        <v>287</v>
      </c>
      <c r="C38" s="155" t="n">
        <f aca="false">BS!L45</f>
        <v>3134</v>
      </c>
    </row>
    <row r="39" customFormat="false" ht="15" hidden="false" customHeight="false" outlineLevel="0" collapsed="false">
      <c r="B39" s="0" t="s">
        <v>288</v>
      </c>
      <c r="C39" s="155" t="n">
        <f aca="false">-BS!L17</f>
        <v>-407</v>
      </c>
    </row>
    <row r="40" customFormat="false" ht="15" hidden="false" customHeight="false" outlineLevel="0" collapsed="false">
      <c r="B40" s="0" t="s">
        <v>289</v>
      </c>
      <c r="C40" s="155" t="n">
        <f aca="false">-(BS!L22+BS!L15)</f>
        <v>-6</v>
      </c>
    </row>
    <row r="41" customFormat="false" ht="15" hidden="false" customHeight="false" outlineLevel="0" collapsed="false">
      <c r="B41" s="170" t="s">
        <v>249</v>
      </c>
      <c r="C41" s="173" t="n">
        <f aca="false">C37+C38+C39+C40</f>
        <v>53671.1878239889</v>
      </c>
    </row>
    <row r="42" customFormat="false" ht="15" hidden="false" customHeight="false" outlineLevel="0" collapsed="false">
      <c r="B42" s="0" t="s">
        <v>290</v>
      </c>
      <c r="C42" s="174" t="n">
        <f aca="false">DCF!C27</f>
        <v>72.74</v>
      </c>
    </row>
    <row r="43" customFormat="false" ht="15" hidden="false" customHeight="false" outlineLevel="0" collapsed="false">
      <c r="B43" s="170" t="s">
        <v>291</v>
      </c>
      <c r="C43" s="175" t="n">
        <f aca="false">C41/C42</f>
        <v>737.849708880793</v>
      </c>
    </row>
    <row r="44" customFormat="false" ht="15" hidden="false" customHeight="false" outlineLevel="0" collapsed="false">
      <c r="B44" s="0" t="s">
        <v>292</v>
      </c>
      <c r="C44" s="50" t="n">
        <f aca="false">C36/C37</f>
        <v>0.736709661115478</v>
      </c>
    </row>
    <row r="45" customFormat="false" ht="15" hidden="false" customHeight="false" outlineLevel="0" collapsed="false">
      <c r="B45" s="0" t="s">
        <v>293</v>
      </c>
      <c r="C45" s="174" t="n">
        <f aca="false">DCF!C28</f>
        <v>658.96010388074</v>
      </c>
    </row>
    <row r="46" customFormat="false" ht="15" hidden="false" customHeight="false" outlineLevel="0" collapsed="false">
      <c r="B46" s="0" t="s">
        <v>294</v>
      </c>
      <c r="C46" s="174" t="n">
        <f aca="false">'Beta Calculation'!F5</f>
        <v>1246.7</v>
      </c>
    </row>
    <row r="49" customFormat="false" ht="15" hidden="false" customHeight="false" outlineLevel="0" collapsed="false">
      <c r="B49" s="176" t="s">
        <v>295</v>
      </c>
    </row>
    <row r="50" customFormat="false" ht="15" hidden="false" customHeight="false" outlineLevel="0" collapsed="false">
      <c r="B50" s="166" t="s">
        <v>296</v>
      </c>
      <c r="C50" s="166" t="s">
        <v>297</v>
      </c>
    </row>
    <row r="51" customFormat="false" ht="15" hidden="false" customHeight="false" outlineLevel="0" collapsed="false">
      <c r="B51" s="0" t="s">
        <v>246</v>
      </c>
      <c r="C51" s="174" t="n">
        <v>50950</v>
      </c>
    </row>
    <row r="52" customFormat="false" ht="15" hidden="false" customHeight="false" outlineLevel="0" collapsed="false">
      <c r="B52" s="0" t="s">
        <v>249</v>
      </c>
      <c r="C52" s="174" t="n">
        <v>53671</v>
      </c>
    </row>
    <row r="53" customFormat="false" ht="15" hidden="false" customHeight="false" outlineLevel="0" collapsed="false">
      <c r="B53" s="0" t="s">
        <v>298</v>
      </c>
      <c r="C53" s="174" t="n">
        <v>737.85</v>
      </c>
    </row>
    <row r="54" customFormat="false" ht="15" hidden="false" customHeight="false" outlineLevel="0" collapsed="false">
      <c r="B54" s="0" t="s">
        <v>299</v>
      </c>
      <c r="C54" s="50" t="n">
        <v>0.737</v>
      </c>
    </row>
    <row r="57" customFormat="false" ht="15" hidden="false" customHeight="false" outlineLevel="0" collapsed="false">
      <c r="B57" s="177" t="s">
        <v>300</v>
      </c>
    </row>
    <row r="58" customFormat="false" ht="15" hidden="false" customHeight="false" outlineLevel="0" collapsed="false">
      <c r="B58" s="178" t="s">
        <v>301</v>
      </c>
      <c r="C58" s="179" t="n">
        <v>0.055</v>
      </c>
      <c r="D58" s="179" t="n">
        <v>0.06</v>
      </c>
      <c r="E58" s="179" t="n">
        <v>0.065</v>
      </c>
      <c r="F58" s="179" t="n">
        <v>0.07</v>
      </c>
      <c r="G58" s="179" t="n">
        <v>0.075</v>
      </c>
    </row>
    <row r="59" customFormat="false" ht="15" hidden="false" customHeight="false" outlineLevel="0" collapsed="false">
      <c r="B59" s="180" t="n">
        <v>0.095</v>
      </c>
      <c r="C59" s="181" t="n">
        <v>732</v>
      </c>
      <c r="D59" s="181" t="n">
        <v>807</v>
      </c>
      <c r="E59" s="181" t="n">
        <v>907</v>
      </c>
      <c r="F59" s="181" t="n">
        <v>1046</v>
      </c>
      <c r="G59" s="181" t="n">
        <v>1256</v>
      </c>
    </row>
    <row r="60" customFormat="false" ht="15" hidden="false" customHeight="false" outlineLevel="0" collapsed="false">
      <c r="B60" s="180" t="n">
        <v>0.1</v>
      </c>
      <c r="C60" s="181" t="n">
        <v>652</v>
      </c>
      <c r="D60" s="181" t="n">
        <v>707</v>
      </c>
      <c r="E60" s="181" t="n">
        <v>779</v>
      </c>
      <c r="F60" s="181" t="n">
        <v>875</v>
      </c>
      <c r="G60" s="181" t="n">
        <v>1009</v>
      </c>
    </row>
    <row r="61" customFormat="false" ht="15" hidden="false" customHeight="false" outlineLevel="0" collapsed="false">
      <c r="B61" s="180" t="n">
        <v>0.102</v>
      </c>
      <c r="C61" s="181" t="n">
        <v>624</v>
      </c>
      <c r="D61" s="181" t="n">
        <v>674</v>
      </c>
      <c r="E61" s="182" t="n">
        <v>738</v>
      </c>
      <c r="F61" s="181" t="n">
        <v>821</v>
      </c>
      <c r="G61" s="181" t="n">
        <v>936</v>
      </c>
    </row>
    <row r="62" customFormat="false" ht="15" hidden="false" customHeight="false" outlineLevel="0" collapsed="false">
      <c r="B62" s="180" t="n">
        <v>0.105</v>
      </c>
      <c r="C62" s="181" t="n">
        <v>587</v>
      </c>
      <c r="D62" s="181" t="n">
        <v>630</v>
      </c>
      <c r="E62" s="181" t="n">
        <v>684</v>
      </c>
      <c r="F62" s="181" t="n">
        <v>752</v>
      </c>
      <c r="G62" s="181" t="n">
        <v>844</v>
      </c>
    </row>
    <row r="63" customFormat="false" ht="15" hidden="false" customHeight="false" outlineLevel="0" collapsed="false">
      <c r="B63" s="180" t="n">
        <v>0.11</v>
      </c>
      <c r="C63" s="181" t="n">
        <v>534</v>
      </c>
      <c r="D63" s="181" t="n">
        <v>568</v>
      </c>
      <c r="E63" s="181" t="n">
        <v>609</v>
      </c>
      <c r="F63" s="181" t="n">
        <v>661</v>
      </c>
      <c r="G63" s="181" t="n">
        <v>727</v>
      </c>
    </row>
    <row r="64" customFormat="false" ht="15" hidden="false" customHeight="false" outlineLevel="0" collapsed="false">
      <c r="B64" s="180" t="n">
        <v>0.115</v>
      </c>
      <c r="C64" s="181" t="n">
        <v>491</v>
      </c>
      <c r="D64" s="181" t="n">
        <v>518</v>
      </c>
      <c r="E64" s="181" t="n">
        <v>550</v>
      </c>
      <c r="F64" s="181" t="n">
        <v>589</v>
      </c>
      <c r="G64" s="181" t="n">
        <v>639</v>
      </c>
    </row>
    <row r="65" customFormat="false" ht="15" hidden="false" customHeight="false" outlineLevel="0" collapsed="false">
      <c r="B65" s="180" t="n">
        <v>0.12</v>
      </c>
      <c r="C65" s="181" t="n">
        <v>454</v>
      </c>
      <c r="D65" s="181" t="n">
        <v>475</v>
      </c>
      <c r="E65" s="181" t="n">
        <v>501</v>
      </c>
      <c r="F65" s="181" t="n">
        <v>532</v>
      </c>
      <c r="G65" s="181" t="n">
        <v>570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O12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875" defaultRowHeight="14.4" zeroHeight="false" outlineLevelRow="0" outlineLevelCol="0"/>
  <cols>
    <col collapsed="false" customWidth="true" hidden="false" outlineLevel="0" max="1" min="1" style="0" width="2.77"/>
    <col collapsed="false" customWidth="true" hidden="false" outlineLevel="0" max="3" min="2" style="0" width="20.78"/>
    <col collapsed="false" customWidth="true" hidden="false" outlineLevel="0" max="4" min="4" style="0" width="5.78"/>
    <col collapsed="false" customWidth="true" hidden="false" outlineLevel="0" max="9" min="5" style="0" width="20.78"/>
    <col collapsed="false" customWidth="true" hidden="false" outlineLevel="0" max="12" min="11" style="0" width="20.78"/>
    <col collapsed="false" customWidth="true" hidden="false" outlineLevel="0" max="13" min="13" style="0" width="22.01"/>
    <col collapsed="false" customWidth="true" hidden="false" outlineLevel="0" max="16" min="14" style="0" width="20.78"/>
  </cols>
  <sheetData>
    <row r="2" customFormat="false" ht="21" hidden="false" customHeight="true" outlineLevel="0" collapsed="false">
      <c r="B2" s="61" t="s">
        <v>302</v>
      </c>
      <c r="E2" s="183" t="s">
        <v>303</v>
      </c>
      <c r="F2" s="184"/>
      <c r="G2" s="184"/>
      <c r="H2" s="184"/>
      <c r="I2" s="185" t="s">
        <v>229</v>
      </c>
      <c r="K2" s="183" t="s">
        <v>304</v>
      </c>
      <c r="L2" s="184"/>
      <c r="M2" s="184"/>
      <c r="N2" s="184"/>
      <c r="O2" s="185" t="s">
        <v>229</v>
      </c>
    </row>
    <row r="3" customFormat="false" ht="14.4" hidden="false" customHeight="false" outlineLevel="0" collapsed="false">
      <c r="E3" s="186"/>
      <c r="I3" s="187" t="n">
        <f aca="false">SLOPE(G5:G273,I5:I273)</f>
        <v>0.880928102588583</v>
      </c>
      <c r="K3" s="186"/>
      <c r="O3" s="187" t="n">
        <f aca="false">SLOPE(M5:M65,O5:O65)</f>
        <v>0.885153241299924</v>
      </c>
    </row>
    <row r="4" customFormat="false" ht="14.4" hidden="false" customHeight="false" outlineLevel="0" collapsed="false">
      <c r="B4" s="188" t="s">
        <v>305</v>
      </c>
      <c r="C4" s="189" t="s">
        <v>306</v>
      </c>
      <c r="D4" s="190"/>
      <c r="E4" s="191" t="s">
        <v>307</v>
      </c>
      <c r="F4" s="192" t="s">
        <v>308</v>
      </c>
      <c r="G4" s="192" t="s">
        <v>309</v>
      </c>
      <c r="H4" s="192" t="s">
        <v>310</v>
      </c>
      <c r="I4" s="193" t="s">
        <v>309</v>
      </c>
      <c r="K4" s="191" t="s">
        <v>307</v>
      </c>
      <c r="L4" s="192" t="s">
        <v>308</v>
      </c>
      <c r="M4" s="192" t="s">
        <v>309</v>
      </c>
      <c r="N4" s="192" t="s">
        <v>310</v>
      </c>
      <c r="O4" s="193" t="s">
        <v>309</v>
      </c>
    </row>
    <row r="5" s="35" customFormat="true" ht="14.4" hidden="false" customHeight="false" outlineLevel="0" collapsed="false">
      <c r="B5" s="194"/>
      <c r="C5" s="195"/>
      <c r="E5" s="194" t="n">
        <v>46173</v>
      </c>
      <c r="F5" s="35" t="n">
        <v>1246.7</v>
      </c>
      <c r="G5" s="112" t="n">
        <f aca="false">LN(F5/F6)</f>
        <v>-0.0185168401017076</v>
      </c>
      <c r="H5" s="174" t="n">
        <v>48302.45</v>
      </c>
      <c r="I5" s="196" t="n">
        <f aca="false">LN(H5/H6)</f>
        <v>-0.0221310388374317</v>
      </c>
      <c r="K5" s="194" t="n">
        <v>46143</v>
      </c>
      <c r="L5" s="35" t="n">
        <v>1270</v>
      </c>
      <c r="M5" s="112" t="n">
        <f aca="false">LN(L5/L6)</f>
        <v>-0.0428482866597161</v>
      </c>
      <c r="N5" s="174" t="n">
        <v>49383.35</v>
      </c>
      <c r="O5" s="196" t="n">
        <f aca="false">LN(N5/N6)</f>
        <v>-0.0336250369982879</v>
      </c>
    </row>
    <row r="6" s="35" customFormat="true" ht="14.4" hidden="false" customHeight="false" outlineLevel="0" collapsed="false">
      <c r="B6" s="194" t="s">
        <v>311</v>
      </c>
      <c r="C6" s="195" t="n">
        <f aca="false">O3</f>
        <v>0.885153241299924</v>
      </c>
      <c r="E6" s="194" t="n">
        <v>46166</v>
      </c>
      <c r="F6" s="35" t="n">
        <v>1270</v>
      </c>
      <c r="G6" s="112" t="n">
        <f aca="false">LN(F6/F7)</f>
        <v>-0.00948245810601794</v>
      </c>
      <c r="H6" s="174" t="n">
        <v>49383.35</v>
      </c>
      <c r="I6" s="196" t="n">
        <f aca="false">LN(H6/H7)</f>
        <v>-0.0173932439845732</v>
      </c>
      <c r="K6" s="194" t="n">
        <v>46113</v>
      </c>
      <c r="L6" s="35" t="n">
        <v>1325.6</v>
      </c>
      <c r="M6" s="112" t="n">
        <f aca="false">LN(L6/L7)</f>
        <v>0.0839984190007992</v>
      </c>
      <c r="N6" s="174" t="n">
        <v>51072.1</v>
      </c>
      <c r="O6" s="196" t="n">
        <f aca="false">LN(N6/N7)</f>
        <v>0.114676943918058</v>
      </c>
    </row>
    <row r="7" s="35" customFormat="true" ht="14.4" hidden="false" customHeight="false" outlineLevel="0" collapsed="false">
      <c r="B7" s="197" t="s">
        <v>305</v>
      </c>
      <c r="C7" s="198" t="n">
        <f aca="false">0.67*C6+0.33</f>
        <v>0.923052671670949</v>
      </c>
      <c r="E7" s="194" t="n">
        <v>46159</v>
      </c>
      <c r="F7" s="35" t="n">
        <v>1282.1</v>
      </c>
      <c r="G7" s="112" t="n">
        <f aca="false">LN(F7/F8)</f>
        <v>-0.0296625404911038</v>
      </c>
      <c r="H7" s="174" t="n">
        <v>50249.8</v>
      </c>
      <c r="I7" s="196" t="n">
        <f aca="false">LN(H7/H8)</f>
        <v>-0.0158254220913546</v>
      </c>
      <c r="K7" s="194" t="n">
        <v>46082</v>
      </c>
      <c r="L7" s="35" t="n">
        <v>1218.8</v>
      </c>
      <c r="M7" s="112" t="n">
        <f aca="false">LN(L7/L8)</f>
        <v>-0.12479627321761</v>
      </c>
      <c r="N7" s="174" t="n">
        <v>45538.65</v>
      </c>
      <c r="O7" s="196" t="n">
        <f aca="false">LN(N7/N8)</f>
        <v>-0.116048572173406</v>
      </c>
    </row>
    <row r="8" s="35" customFormat="true" ht="14.4" hidden="false" customHeight="false" outlineLevel="0" collapsed="false">
      <c r="B8" s="199"/>
      <c r="E8" s="194" t="n">
        <v>46152</v>
      </c>
      <c r="F8" s="35" t="n">
        <v>1320.7</v>
      </c>
      <c r="G8" s="112" t="n">
        <f aca="false">LN(F8/F9)</f>
        <v>0.0306770163672537</v>
      </c>
      <c r="H8" s="174" t="n">
        <v>51051.35</v>
      </c>
      <c r="I8" s="196" t="n">
        <f aca="false">LN(H8/H9)</f>
        <v>-0.00224130561041358</v>
      </c>
      <c r="K8" s="194" t="n">
        <v>46054</v>
      </c>
      <c r="L8" s="35" t="n">
        <v>1380.8</v>
      </c>
      <c r="M8" s="112" t="n">
        <f aca="false">LN(L8/L9)</f>
        <v>0.0132684019895957</v>
      </c>
      <c r="N8" s="174" t="n">
        <v>51142.2</v>
      </c>
      <c r="O8" s="196" t="n">
        <f aca="false">LN(N8/N9)</f>
        <v>-0.00142637488597436</v>
      </c>
    </row>
    <row r="9" s="35" customFormat="true" ht="14.4" hidden="false" customHeight="false" outlineLevel="0" collapsed="false">
      <c r="B9" s="199"/>
      <c r="E9" s="194" t="n">
        <v>46145</v>
      </c>
      <c r="F9" s="35" t="n">
        <v>1280.8</v>
      </c>
      <c r="G9" s="112" t="n">
        <f aca="false">LN(F9/F10)</f>
        <v>-0.0343803044298481</v>
      </c>
      <c r="H9" s="174" t="n">
        <v>51165.9</v>
      </c>
      <c r="I9" s="196" t="n">
        <f aca="false">LN(H9/H10)</f>
        <v>0.00183493468805337</v>
      </c>
      <c r="K9" s="194" t="n">
        <v>46023</v>
      </c>
      <c r="L9" s="35" t="n">
        <v>1362.6</v>
      </c>
      <c r="M9" s="112" t="n">
        <f aca="false">LN(L9/L10)</f>
        <v>-0.0578146232962012</v>
      </c>
      <c r="N9" s="174" t="n">
        <v>51215.2</v>
      </c>
      <c r="O9" s="196" t="n">
        <f aca="false">LN(N9/N10)</f>
        <v>-0.0799078227528503</v>
      </c>
    </row>
    <row r="10" s="35" customFormat="true" ht="14.4" hidden="false" customHeight="false" outlineLevel="0" collapsed="false">
      <c r="B10" s="199"/>
      <c r="E10" s="194" t="n">
        <v>46138</v>
      </c>
      <c r="F10" s="35" t="n">
        <v>1325.6</v>
      </c>
      <c r="G10" s="112" t="n">
        <f aca="false">LN(F10/F11)</f>
        <v>-0.0488045331210018</v>
      </c>
      <c r="H10" s="174" t="n">
        <v>51072.1</v>
      </c>
      <c r="I10" s="196" t="n">
        <f aca="false">LN(H10/H11)</f>
        <v>0.00600659613137844</v>
      </c>
      <c r="K10" s="194" t="n">
        <v>45992</v>
      </c>
      <c r="L10" s="35" t="n">
        <v>1443.7</v>
      </c>
      <c r="M10" s="112" t="n">
        <f aca="false">LN(L10/L11)</f>
        <v>-0.00545713370314628</v>
      </c>
      <c r="N10" s="174" t="n">
        <v>55475.65</v>
      </c>
      <c r="O10" s="196" t="n">
        <f aca="false">LN(N10/N11)</f>
        <v>-0.00216347309528536</v>
      </c>
    </row>
    <row r="11" s="35" customFormat="true" ht="14.4" hidden="false" customHeight="false" outlineLevel="0" collapsed="false">
      <c r="B11" s="199"/>
      <c r="E11" s="194" t="n">
        <v>46131</v>
      </c>
      <c r="F11" s="35" t="n">
        <v>1391.9</v>
      </c>
      <c r="G11" s="112" t="n">
        <f aca="false">LN(F11/F12)</f>
        <v>0.066077171024469</v>
      </c>
      <c r="H11" s="174" t="n">
        <v>50766.25</v>
      </c>
      <c r="I11" s="196" t="n">
        <f aca="false">LN(H11/H12)</f>
        <v>0.0220772927555669</v>
      </c>
      <c r="K11" s="194" t="n">
        <v>45962</v>
      </c>
      <c r="L11" s="35" t="n">
        <v>1451.6</v>
      </c>
      <c r="M11" s="112" t="n">
        <f aca="false">LN(L11/L12)</f>
        <v>0.014013410034418</v>
      </c>
      <c r="N11" s="174" t="n">
        <v>55595.8</v>
      </c>
      <c r="O11" s="196" t="n">
        <f aca="false">LN(N11/N12)</f>
        <v>-0.010960332179857</v>
      </c>
    </row>
    <row r="12" s="35" customFormat="true" ht="14.4" hidden="false" customHeight="false" outlineLevel="0" collapsed="false">
      <c r="B12" s="199"/>
      <c r="E12" s="194" t="n">
        <v>46124</v>
      </c>
      <c r="F12" s="35" t="n">
        <v>1302.9</v>
      </c>
      <c r="G12" s="112" t="n">
        <f aca="false">LN(F12/F13)</f>
        <v>0.0269939769429546</v>
      </c>
      <c r="H12" s="174" t="n">
        <v>49657.75</v>
      </c>
      <c r="I12" s="196" t="n">
        <f aca="false">LN(H12/H13)</f>
        <v>0.0299189015052149</v>
      </c>
      <c r="K12" s="194" t="n">
        <v>45931</v>
      </c>
      <c r="L12" s="35" t="n">
        <v>1431.4</v>
      </c>
      <c r="M12" s="112" t="n">
        <f aca="false">LN(L12/L13)</f>
        <v>0.0777689683715785</v>
      </c>
      <c r="N12" s="174" t="n">
        <v>56208.5</v>
      </c>
      <c r="O12" s="196" t="n">
        <f aca="false">LN(N12/N13)</f>
        <v>0.0270086882850288</v>
      </c>
    </row>
    <row r="13" s="35" customFormat="true" ht="14.4" hidden="false" customHeight="false" outlineLevel="0" collapsed="false">
      <c r="B13" s="199"/>
      <c r="E13" s="194" t="n">
        <v>46117</v>
      </c>
      <c r="F13" s="35" t="n">
        <v>1268.2</v>
      </c>
      <c r="G13" s="112" t="n">
        <f aca="false">LN(F13/F14)</f>
        <v>0.0377645904052084</v>
      </c>
      <c r="H13" s="174" t="n">
        <v>48194.05</v>
      </c>
      <c r="I13" s="196" t="n">
        <f aca="false">LN(H13/H14)</f>
        <v>0.0415601259371333</v>
      </c>
      <c r="K13" s="194" t="n">
        <v>45901</v>
      </c>
      <c r="L13" s="35" t="n">
        <v>1324.3</v>
      </c>
      <c r="M13" s="112" t="n">
        <f aca="false">LN(L13/L14)</f>
        <v>0.0100938131692187</v>
      </c>
      <c r="N13" s="174" t="n">
        <v>54710.7</v>
      </c>
      <c r="O13" s="196" t="n">
        <f aca="false">LN(N13/N14)</f>
        <v>-0.025822220991983</v>
      </c>
    </row>
    <row r="14" s="35" customFormat="true" ht="14.4" hidden="false" customHeight="false" outlineLevel="0" collapsed="false">
      <c r="B14" s="199"/>
      <c r="E14" s="194" t="n">
        <v>46110</v>
      </c>
      <c r="F14" s="35" t="n">
        <v>1221.2</v>
      </c>
      <c r="G14" s="112" t="n">
        <f aca="false">LN(F14/F15)</f>
        <v>-0.0263449579791452</v>
      </c>
      <c r="H14" s="174" t="n">
        <v>46232.15</v>
      </c>
      <c r="I14" s="196" t="n">
        <f aca="false">LN(H14/H15)</f>
        <v>-0.00421005086043334</v>
      </c>
      <c r="K14" s="194" t="n">
        <v>45870</v>
      </c>
      <c r="L14" s="35" t="n">
        <v>1311</v>
      </c>
      <c r="M14" s="112" t="n">
        <f aca="false">LN(L14/L15)</f>
        <v>-0.0220286517753706</v>
      </c>
      <c r="N14" s="174" t="n">
        <v>56141.85</v>
      </c>
      <c r="O14" s="196" t="n">
        <f aca="false">LN(N14/N15)</f>
        <v>0.00588993610133117</v>
      </c>
    </row>
    <row r="15" s="35" customFormat="true" ht="14.4" hidden="false" customHeight="false" outlineLevel="0" collapsed="false">
      <c r="B15" s="199"/>
      <c r="E15" s="194" t="n">
        <v>46103</v>
      </c>
      <c r="F15" s="35" t="n">
        <v>1253.8</v>
      </c>
      <c r="G15" s="112" t="n">
        <f aca="false">LN(F15/F16)</f>
        <v>-0.0362622447282549</v>
      </c>
      <c r="H15" s="174" t="n">
        <v>46427.2</v>
      </c>
      <c r="I15" s="196" t="n">
        <f aca="false">LN(H15/H16)</f>
        <v>-0.0124227327303645</v>
      </c>
      <c r="K15" s="194" t="n">
        <v>45839</v>
      </c>
      <c r="L15" s="35" t="n">
        <v>1340.2</v>
      </c>
      <c r="M15" s="112" t="n">
        <f aca="false">LN(L15/L16)</f>
        <v>-0.0635260329198171</v>
      </c>
      <c r="N15" s="174" t="n">
        <v>55812.15</v>
      </c>
      <c r="O15" s="196" t="n">
        <f aca="false">LN(N15/N16)</f>
        <v>0.0167715425877795</v>
      </c>
    </row>
    <row r="16" s="35" customFormat="true" ht="14.4" hidden="false" customHeight="false" outlineLevel="0" collapsed="false">
      <c r="B16" s="199"/>
      <c r="E16" s="194" t="n">
        <v>46096</v>
      </c>
      <c r="F16" s="35" t="n">
        <v>1300.1</v>
      </c>
      <c r="G16" s="112" t="n">
        <f aca="false">LN(F16/F17)</f>
        <v>-0.0109391031549354</v>
      </c>
      <c r="H16" s="174" t="n">
        <v>47007.55</v>
      </c>
      <c r="I16" s="196" t="n">
        <f aca="false">LN(H16/H17)</f>
        <v>-0.0193113256215364</v>
      </c>
      <c r="K16" s="194" t="n">
        <v>45809</v>
      </c>
      <c r="L16" s="35" t="n">
        <v>1428.1</v>
      </c>
      <c r="M16" s="112" t="n">
        <f aca="false">LN(L16/L17)</f>
        <v>-0.0624312326910863</v>
      </c>
      <c r="N16" s="174" t="n">
        <v>54883.9</v>
      </c>
      <c r="O16" s="196" t="n">
        <f aca="false">LN(N16/N17)</f>
        <v>-0.00724540212936943</v>
      </c>
    </row>
    <row r="17" s="35" customFormat="true" ht="14.4" hidden="false" customHeight="false" outlineLevel="0" collapsed="false">
      <c r="B17" s="199"/>
      <c r="E17" s="194" t="n">
        <v>46089</v>
      </c>
      <c r="F17" s="35" t="n">
        <v>1314.4</v>
      </c>
      <c r="G17" s="112" t="n">
        <f aca="false">LN(F17/F18)</f>
        <v>-0.0557795641571685</v>
      </c>
      <c r="H17" s="174" t="n">
        <v>47924.15</v>
      </c>
      <c r="I17" s="196" t="n">
        <f aca="false">LN(H17/H18)</f>
        <v>-0.0418152797598327</v>
      </c>
      <c r="K17" s="194" t="n">
        <v>45778</v>
      </c>
      <c r="L17" s="35" t="n">
        <v>1520.1</v>
      </c>
      <c r="M17" s="112" t="n">
        <f aca="false">LN(L17/L18)</f>
        <v>-0.0284065792921962</v>
      </c>
      <c r="N17" s="174" t="n">
        <v>55283</v>
      </c>
      <c r="O17" s="196" t="n">
        <f aca="false">LN(N17/N18)</f>
        <v>-0.020807466258652</v>
      </c>
    </row>
    <row r="18" s="35" customFormat="true" ht="14.4" hidden="false" customHeight="false" outlineLevel="0" collapsed="false">
      <c r="B18" s="199"/>
      <c r="E18" s="194" t="n">
        <v>46082</v>
      </c>
      <c r="F18" s="35" t="n">
        <v>1389.8</v>
      </c>
      <c r="G18" s="112" t="n">
        <f aca="false">LN(F18/F19)</f>
        <v>0.0064968105510634</v>
      </c>
      <c r="H18" s="174" t="n">
        <v>49970.6</v>
      </c>
      <c r="I18" s="196" t="n">
        <f aca="false">LN(H18/H19)</f>
        <v>-0.0231751556124743</v>
      </c>
      <c r="K18" s="194" t="n">
        <v>45748</v>
      </c>
      <c r="L18" s="35" t="n">
        <v>1563.9</v>
      </c>
      <c r="M18" s="112" t="n">
        <f aca="false">LN(L18/L19)</f>
        <v>0.109782324265998</v>
      </c>
      <c r="N18" s="174" t="n">
        <v>56445.35</v>
      </c>
      <c r="O18" s="196" t="n">
        <f aca="false">LN(N18/N19)</f>
        <v>0.0519141619604214</v>
      </c>
    </row>
    <row r="19" s="35" customFormat="true" ht="14.4" hidden="false" customHeight="false" outlineLevel="0" collapsed="false">
      <c r="B19" s="199"/>
      <c r="E19" s="194" t="n">
        <v>46075</v>
      </c>
      <c r="F19" s="35" t="n">
        <v>1380.8</v>
      </c>
      <c r="G19" s="112" t="n">
        <f aca="false">LN(F19/F20)</f>
        <v>0.00108691724768923</v>
      </c>
      <c r="H19" s="174" t="n">
        <v>51142.2</v>
      </c>
      <c r="I19" s="196" t="n">
        <f aca="false">LN(H19/H20)</f>
        <v>-0.0122529952100276</v>
      </c>
      <c r="K19" s="194" t="n">
        <v>45717</v>
      </c>
      <c r="L19" s="35" t="n">
        <v>1401.3</v>
      </c>
      <c r="M19" s="112" t="n">
        <f aca="false">LN(L19/L20)</f>
        <v>0.0870697660358611</v>
      </c>
      <c r="N19" s="174" t="n">
        <v>53589.8</v>
      </c>
      <c r="O19" s="196" t="n">
        <f aca="false">LN(N19/N20)</f>
        <v>0.055649826927526</v>
      </c>
    </row>
    <row r="20" s="35" customFormat="true" ht="14.4" hidden="false" customHeight="false" outlineLevel="0" collapsed="false">
      <c r="B20" s="199"/>
      <c r="E20" s="194" t="n">
        <v>46068</v>
      </c>
      <c r="F20" s="35" t="n">
        <v>1379.3</v>
      </c>
      <c r="G20" s="112" t="n">
        <f aca="false">LN(F20/F21)</f>
        <v>-0.0166089305255506</v>
      </c>
      <c r="H20" s="174" t="n">
        <v>51772.7</v>
      </c>
      <c r="I20" s="196" t="n">
        <f aca="false">LN(H20/H21)</f>
        <v>0.0169578209607872</v>
      </c>
      <c r="K20" s="194" t="n">
        <v>45689</v>
      </c>
      <c r="L20" s="35" t="n">
        <v>1284.45</v>
      </c>
      <c r="M20" s="112" t="n">
        <f aca="false">LN(L20/L21)</f>
        <v>-0.10313920183161</v>
      </c>
      <c r="N20" s="174" t="n">
        <v>50689</v>
      </c>
      <c r="O20" s="196" t="n">
        <f aca="false">LN(N20/N21)</f>
        <v>-0.111923300812907</v>
      </c>
    </row>
    <row r="21" s="35" customFormat="true" ht="14.4" hidden="false" customHeight="false" outlineLevel="0" collapsed="false">
      <c r="B21" s="199"/>
      <c r="E21" s="194" t="n">
        <v>46061</v>
      </c>
      <c r="F21" s="35" t="n">
        <v>1402.4</v>
      </c>
      <c r="G21" s="112" t="n">
        <f aca="false">LN(F21/F22)</f>
        <v>0.0182778348783699</v>
      </c>
      <c r="H21" s="174" t="n">
        <v>50902.15</v>
      </c>
      <c r="I21" s="196" t="n">
        <f aca="false">LN(H21/H22)</f>
        <v>-0.0190812026324503</v>
      </c>
      <c r="K21" s="194" t="n">
        <v>45658</v>
      </c>
      <c r="L21" s="35" t="n">
        <v>1424</v>
      </c>
      <c r="M21" s="112" t="n">
        <f aca="false">LN(L21/L22)</f>
        <v>-0.132314887532722</v>
      </c>
      <c r="N21" s="174" t="n">
        <v>56691.95</v>
      </c>
      <c r="O21" s="196" t="n">
        <f aca="false">LN(N21/N22)</f>
        <v>-0.00189793839067354</v>
      </c>
    </row>
    <row r="22" s="35" customFormat="true" ht="14.4" hidden="false" customHeight="false" outlineLevel="0" collapsed="false">
      <c r="B22" s="199"/>
      <c r="E22" s="194" t="n">
        <v>46054</v>
      </c>
      <c r="F22" s="35" t="n">
        <v>1377</v>
      </c>
      <c r="G22" s="112" t="n">
        <f aca="false">LN(F22/F23)</f>
        <v>0.0105125803890872</v>
      </c>
      <c r="H22" s="174" t="n">
        <v>51882.75</v>
      </c>
      <c r="I22" s="196" t="n">
        <f aca="false">LN(H22/H23)</f>
        <v>0.0129500019957162</v>
      </c>
      <c r="K22" s="194" t="n">
        <v>45627</v>
      </c>
      <c r="L22" s="35" t="n">
        <v>1625.45</v>
      </c>
      <c r="M22" s="112" t="n">
        <f aca="false">LN(L22/L23)</f>
        <v>0.0611053734905374</v>
      </c>
      <c r="N22" s="174" t="n">
        <v>56799.65</v>
      </c>
      <c r="O22" s="196" t="n">
        <f aca="false">LN(N22/N23)</f>
        <v>-0.019941685730658</v>
      </c>
    </row>
    <row r="23" s="35" customFormat="true" ht="14.4" hidden="false" customHeight="false" outlineLevel="0" collapsed="false">
      <c r="B23" s="199"/>
      <c r="E23" s="194" t="n">
        <v>46047</v>
      </c>
      <c r="F23" s="35" t="n">
        <v>1362.6</v>
      </c>
      <c r="G23" s="112" t="n">
        <f aca="false">LN(F23/F24)</f>
        <v>0.0219625981608591</v>
      </c>
      <c r="H23" s="174" t="n">
        <v>51215.2</v>
      </c>
      <c r="I23" s="196" t="n">
        <f aca="false">LN(H23/H24)</f>
        <v>-0.00868710643324688</v>
      </c>
      <c r="K23" s="194" t="n">
        <v>45597</v>
      </c>
      <c r="L23" s="35" t="n">
        <v>1529.1</v>
      </c>
      <c r="M23" s="112" t="n">
        <f aca="false">LN(L23/L24)</f>
        <v>0.0537366529622274</v>
      </c>
      <c r="N23" s="174" t="n">
        <v>57943.7</v>
      </c>
      <c r="O23" s="196" t="n">
        <f aca="false">LN(N23/N24)</f>
        <v>-0.0215003668147193</v>
      </c>
    </row>
    <row r="24" s="35" customFormat="true" ht="14.4" hidden="false" customHeight="false" outlineLevel="0" collapsed="false">
      <c r="B24" s="199"/>
      <c r="E24" s="194" t="n">
        <v>46040</v>
      </c>
      <c r="F24" s="35" t="n">
        <v>1333</v>
      </c>
      <c r="G24" s="112" t="n">
        <f aca="false">LN(F24/F25)</f>
        <v>-0.0117091243441033</v>
      </c>
      <c r="H24" s="174" t="n">
        <v>51662.05</v>
      </c>
      <c r="I24" s="196" t="n">
        <f aca="false">LN(H24/H25)</f>
        <v>-0.00925688576860715</v>
      </c>
      <c r="K24" s="194" t="n">
        <v>45566</v>
      </c>
      <c r="L24" s="35" t="n">
        <v>1449.1</v>
      </c>
      <c r="M24" s="112" t="n">
        <f aca="false">LN(L24/L25)</f>
        <v>-0.092728447102785</v>
      </c>
      <c r="N24" s="174" t="n">
        <v>59203</v>
      </c>
      <c r="O24" s="196" t="n">
        <f aca="false">LN(N24/N25)</f>
        <v>-0.101693767224971</v>
      </c>
    </row>
    <row r="25" s="35" customFormat="true" ht="14.4" hidden="false" customHeight="false" outlineLevel="0" collapsed="false">
      <c r="B25" s="199"/>
      <c r="E25" s="194" t="n">
        <v>46033</v>
      </c>
      <c r="F25" s="35" t="n">
        <v>1348.7</v>
      </c>
      <c r="G25" s="112" t="n">
        <f aca="false">LN(F25/F26)</f>
        <v>0.0132106261277004</v>
      </c>
      <c r="H25" s="174" t="n">
        <v>52142.5</v>
      </c>
      <c r="I25" s="196" t="n">
        <f aca="false">LN(H25/H26)</f>
        <v>-0.00565402467112334</v>
      </c>
      <c r="K25" s="194" t="n">
        <v>45536</v>
      </c>
      <c r="L25" s="35" t="n">
        <v>1589.9</v>
      </c>
      <c r="M25" s="112" t="n">
        <f aca="false">LN(L25/L26)</f>
        <v>0.0754539064739154</v>
      </c>
      <c r="N25" s="174" t="n">
        <v>65540.35</v>
      </c>
      <c r="O25" s="196" t="n">
        <f aca="false">LN(N25/N26)</f>
        <v>0.0385832938758568</v>
      </c>
    </row>
    <row r="26" s="35" customFormat="true" ht="14.4" hidden="false" customHeight="false" outlineLevel="0" collapsed="false">
      <c r="B26" s="199"/>
      <c r="E26" s="194" t="n">
        <v>46026</v>
      </c>
      <c r="F26" s="35" t="n">
        <v>1331</v>
      </c>
      <c r="G26" s="112" t="n">
        <f aca="false">LN(F26/F27)</f>
        <v>-0.0373117084373571</v>
      </c>
      <c r="H26" s="174" t="n">
        <v>52438.15</v>
      </c>
      <c r="I26" s="196" t="n">
        <f aca="false">LN(H26/H27)</f>
        <v>-0.0121432219636005</v>
      </c>
      <c r="K26" s="194" t="n">
        <v>45505</v>
      </c>
      <c r="L26" s="35" t="n">
        <v>1474.35</v>
      </c>
      <c r="M26" s="112" t="n">
        <f aca="false">LN(L26/L27)</f>
        <v>0.042289819306643</v>
      </c>
      <c r="N26" s="174" t="n">
        <v>63059.75</v>
      </c>
      <c r="O26" s="196" t="n">
        <f aca="false">LN(N26/N27)</f>
        <v>0.0156233762394046</v>
      </c>
    </row>
    <row r="27" s="35" customFormat="true" ht="14.4" hidden="false" customHeight="false" outlineLevel="0" collapsed="false">
      <c r="B27" s="199"/>
      <c r="E27" s="194" t="n">
        <v>46019</v>
      </c>
      <c r="F27" s="35" t="n">
        <v>1381.6</v>
      </c>
      <c r="G27" s="112" t="n">
        <f aca="false">LN(F27/F28)</f>
        <v>-0.0333126888878246</v>
      </c>
      <c r="H27" s="174" t="n">
        <v>53078.8</v>
      </c>
      <c r="I27" s="196" t="n">
        <f aca="false">LN(H27/H28)</f>
        <v>-0.037953614922719</v>
      </c>
      <c r="K27" s="194" t="n">
        <v>45474</v>
      </c>
      <c r="L27" s="35" t="n">
        <v>1413.3</v>
      </c>
      <c r="M27" s="112" t="n">
        <f aca="false">LN(L27/L28)</f>
        <v>0.101805437692567</v>
      </c>
      <c r="N27" s="174" t="n">
        <v>62082.2</v>
      </c>
      <c r="O27" s="196" t="n">
        <f aca="false">LN(N27/N28)</f>
        <v>0.0896829594682936</v>
      </c>
    </row>
    <row r="28" s="35" customFormat="true" ht="14.4" hidden="false" customHeight="false" outlineLevel="0" collapsed="false">
      <c r="B28" s="199"/>
      <c r="E28" s="194" t="n">
        <v>46012</v>
      </c>
      <c r="F28" s="35" t="n">
        <v>1428.4</v>
      </c>
      <c r="G28" s="112" t="n">
        <f aca="false">LN(F28/F29)</f>
        <v>0.015308400956643</v>
      </c>
      <c r="H28" s="174" t="n">
        <v>55132.05</v>
      </c>
      <c r="I28" s="196" t="n">
        <f aca="false">LN(H28/H29)</f>
        <v>0.00638140918415483</v>
      </c>
      <c r="K28" s="194" t="n">
        <v>45444</v>
      </c>
      <c r="L28" s="35" t="n">
        <v>1276.5</v>
      </c>
      <c r="M28" s="112" t="n">
        <f aca="false">LN(L28/L29)</f>
        <v>0.0962193277759059</v>
      </c>
      <c r="N28" s="174" t="n">
        <v>56756.85</v>
      </c>
      <c r="O28" s="196" t="n">
        <f aca="false">LN(N28/N29)</f>
        <v>0.0478063177793077</v>
      </c>
    </row>
    <row r="29" s="35" customFormat="true" ht="14.4" hidden="false" customHeight="false" outlineLevel="0" collapsed="false">
      <c r="B29" s="199"/>
      <c r="E29" s="194" t="n">
        <v>46005</v>
      </c>
      <c r="F29" s="35" t="n">
        <v>1406.7</v>
      </c>
      <c r="G29" s="112" t="n">
        <f aca="false">LN(F29/F30)</f>
        <v>-0.0283150179802966</v>
      </c>
      <c r="H29" s="174" t="n">
        <v>54781.35</v>
      </c>
      <c r="I29" s="196" t="n">
        <f aca="false">LN(H29/H30)</f>
        <v>0.00531792748175482</v>
      </c>
      <c r="K29" s="194" t="n">
        <v>45413</v>
      </c>
      <c r="L29" s="35" t="n">
        <v>1159.4</v>
      </c>
      <c r="M29" s="112" t="n">
        <f aca="false">LN(L29/L30)</f>
        <v>-0.0150661983546442</v>
      </c>
      <c r="N29" s="174" t="n">
        <v>54107.35</v>
      </c>
      <c r="O29" s="196" t="n">
        <f aca="false">LN(N29/N30)</f>
        <v>-0.0024596693740843</v>
      </c>
    </row>
    <row r="30" s="35" customFormat="true" ht="14.4" hidden="false" customHeight="false" outlineLevel="0" collapsed="false">
      <c r="B30" s="199"/>
      <c r="E30" s="194" t="n">
        <v>45998</v>
      </c>
      <c r="F30" s="35" t="n">
        <v>1447.1</v>
      </c>
      <c r="G30" s="112" t="n">
        <f aca="false">LN(F30/F31)</f>
        <v>-0.0058566329940578</v>
      </c>
      <c r="H30" s="174" t="n">
        <v>54490.8</v>
      </c>
      <c r="I30" s="196" t="n">
        <f aca="false">LN(H30/H31)</f>
        <v>-0.0129827023048409</v>
      </c>
      <c r="K30" s="194" t="n">
        <v>45383</v>
      </c>
      <c r="L30" s="35" t="n">
        <v>1177</v>
      </c>
      <c r="M30" s="112" t="n">
        <f aca="false">LN(L30/L31)</f>
        <v>0.0369971887162035</v>
      </c>
      <c r="N30" s="174" t="n">
        <v>54240.6</v>
      </c>
      <c r="O30" s="196" t="n">
        <f aca="false">LN(N30/N31)</f>
        <v>0.00538684246860922</v>
      </c>
    </row>
    <row r="31" s="35" customFormat="true" ht="14.4" hidden="false" customHeight="false" outlineLevel="0" collapsed="false">
      <c r="B31" s="199"/>
      <c r="E31" s="194" t="n">
        <v>45991</v>
      </c>
      <c r="F31" s="35" t="n">
        <v>1455.6</v>
      </c>
      <c r="G31" s="112" t="n">
        <f aca="false">LN(F31/F32)</f>
        <v>0.00275179039908946</v>
      </c>
      <c r="H31" s="174" t="n">
        <v>55202.85</v>
      </c>
      <c r="I31" s="196" t="n">
        <f aca="false">LN(H31/H32)</f>
        <v>-0.0070930764499074</v>
      </c>
      <c r="K31" s="194" t="n">
        <v>45352</v>
      </c>
      <c r="L31" s="35" t="n">
        <v>1134.25</v>
      </c>
      <c r="M31" s="112" t="n">
        <f aca="false">LN(L31/L32)</f>
        <v>-0.0274787951509286</v>
      </c>
      <c r="N31" s="174" t="n">
        <v>53949.2</v>
      </c>
      <c r="O31" s="196" t="n">
        <f aca="false">LN(N31/N32)</f>
        <v>-0.00123003068355239</v>
      </c>
    </row>
    <row r="32" s="35" customFormat="true" ht="14.4" hidden="false" customHeight="false" outlineLevel="0" collapsed="false">
      <c r="B32" s="199"/>
      <c r="E32" s="194" t="n">
        <v>45984</v>
      </c>
      <c r="F32" s="35" t="n">
        <v>1451.6</v>
      </c>
      <c r="G32" s="112" t="n">
        <f aca="false">LN(F32/F33)</f>
        <v>0.0170219832325698</v>
      </c>
      <c r="H32" s="174" t="n">
        <v>55595.8</v>
      </c>
      <c r="I32" s="196" t="n">
        <f aca="false">LN(H32/H33)</f>
        <v>0.00163995698340665</v>
      </c>
      <c r="K32" s="194" t="n">
        <v>45323</v>
      </c>
      <c r="L32" s="35" t="n">
        <v>1165.85</v>
      </c>
      <c r="M32" s="112" t="n">
        <f aca="false">LN(L32/L33)</f>
        <v>0.0705809568905702</v>
      </c>
      <c r="N32" s="174" t="n">
        <v>54015.6</v>
      </c>
      <c r="O32" s="196" t="n">
        <f aca="false">LN(N32/N33)</f>
        <v>-0.0193576314083888</v>
      </c>
    </row>
    <row r="33" s="35" customFormat="true" ht="14.4" hidden="false" customHeight="false" outlineLevel="0" collapsed="false">
      <c r="B33" s="199"/>
      <c r="E33" s="194" t="n">
        <v>45977</v>
      </c>
      <c r="F33" s="35" t="n">
        <v>1427.1</v>
      </c>
      <c r="G33" s="112" t="n">
        <f aca="false">LN(F33/F34)</f>
        <v>-0.00161036267953308</v>
      </c>
      <c r="H33" s="174" t="n">
        <v>55504.7</v>
      </c>
      <c r="I33" s="196" t="n">
        <f aca="false">LN(H33/H34)</f>
        <v>-0.00101021477904484</v>
      </c>
      <c r="K33" s="194" t="n">
        <v>45292</v>
      </c>
      <c r="L33" s="35" t="n">
        <v>1086.4</v>
      </c>
      <c r="M33" s="112" t="n">
        <f aca="false">LN(L33/L34)</f>
        <v>-0.0284482583096582</v>
      </c>
      <c r="N33" s="174" t="n">
        <v>55071.4</v>
      </c>
      <c r="O33" s="196" t="n">
        <f aca="false">LN(N33/N34)</f>
        <v>-0.0341961560721622</v>
      </c>
    </row>
    <row r="34" s="35" customFormat="true" ht="14.4" hidden="false" customHeight="false" outlineLevel="0" collapsed="false">
      <c r="B34" s="199"/>
      <c r="E34" s="194" t="n">
        <v>45970</v>
      </c>
      <c r="F34" s="35" t="n">
        <v>1429.4</v>
      </c>
      <c r="G34" s="112" t="n">
        <f aca="false">LN(F34/F35)</f>
        <v>0.000209900298129438</v>
      </c>
      <c r="H34" s="174" t="n">
        <v>55560.8</v>
      </c>
      <c r="I34" s="196" t="n">
        <f aca="false">LN(H34/H35)</f>
        <v>0.00222706807485317</v>
      </c>
      <c r="K34" s="194" t="n">
        <v>45261</v>
      </c>
      <c r="L34" s="35" t="n">
        <v>1117.75</v>
      </c>
      <c r="M34" s="112" t="n">
        <f aca="false">LN(L34/L35)</f>
        <v>0.0636234102692914</v>
      </c>
      <c r="N34" s="174" t="n">
        <v>56987.2</v>
      </c>
      <c r="O34" s="196" t="n">
        <f aca="false">LN(N34/N35)</f>
        <v>0.0722744241950429</v>
      </c>
    </row>
    <row r="35" s="35" customFormat="true" ht="14.4" hidden="false" customHeight="false" outlineLevel="0" collapsed="false">
      <c r="B35" s="199"/>
      <c r="E35" s="194" t="n">
        <v>45963</v>
      </c>
      <c r="F35" s="35" t="n">
        <v>1429.1</v>
      </c>
      <c r="G35" s="112" t="n">
        <f aca="false">LN(F35/F36)</f>
        <v>-0.00160811081674819</v>
      </c>
      <c r="H35" s="174" t="n">
        <v>55437.2</v>
      </c>
      <c r="I35" s="196" t="n">
        <f aca="false">LN(H35/H36)</f>
        <v>-0.0138171424590718</v>
      </c>
      <c r="K35" s="194" t="n">
        <v>45231</v>
      </c>
      <c r="L35" s="35" t="n">
        <v>1048.85</v>
      </c>
      <c r="M35" s="112" t="n">
        <f aca="false">LN(L35/L36)</f>
        <v>0.0160018791301718</v>
      </c>
      <c r="N35" s="174" t="n">
        <v>53013.8</v>
      </c>
      <c r="O35" s="196" t="n">
        <f aca="false">LN(N35/N36)</f>
        <v>0.0335908155583151</v>
      </c>
    </row>
    <row r="36" s="35" customFormat="true" ht="14.4" hidden="false" customHeight="false" outlineLevel="0" collapsed="false">
      <c r="B36" s="199"/>
      <c r="E36" s="194" t="n">
        <v>45956</v>
      </c>
      <c r="F36" s="35" t="n">
        <v>1431.4</v>
      </c>
      <c r="G36" s="112" t="n">
        <f aca="false">LN(F36/F37)</f>
        <v>0.0530818810348391</v>
      </c>
      <c r="H36" s="174" t="n">
        <v>56208.5</v>
      </c>
      <c r="I36" s="196" t="n">
        <f aca="false">LN(H36/H37)</f>
        <v>-0.00248053106757476</v>
      </c>
      <c r="K36" s="194" t="n">
        <v>45200</v>
      </c>
      <c r="L36" s="35" t="n">
        <v>1032.2</v>
      </c>
      <c r="M36" s="112" t="n">
        <f aca="false">LN(L36/L37)</f>
        <v>0.0244686016431701</v>
      </c>
      <c r="N36" s="174" t="n">
        <v>51262.6</v>
      </c>
      <c r="O36" s="196" t="n">
        <f aca="false">LN(N36/N37)</f>
        <v>-0.0066115862979639</v>
      </c>
    </row>
    <row r="37" s="35" customFormat="true" ht="14.4" hidden="false" customHeight="false" outlineLevel="0" collapsed="false">
      <c r="B37" s="199"/>
      <c r="E37" s="194" t="n">
        <v>45949</v>
      </c>
      <c r="F37" s="35" t="n">
        <v>1357.4</v>
      </c>
      <c r="G37" s="112" t="n">
        <f aca="false">LN(F37/F38)</f>
        <v>-0.00294247674419309</v>
      </c>
      <c r="H37" s="174" t="n">
        <v>56348.1</v>
      </c>
      <c r="I37" s="196" t="n">
        <f aca="false">LN(H37/H38)</f>
        <v>-0.0047501738067557</v>
      </c>
      <c r="K37" s="194" t="n">
        <v>45170</v>
      </c>
      <c r="L37" s="35" t="n">
        <v>1007.25</v>
      </c>
      <c r="M37" s="112" t="n">
        <f aca="false">LN(L37/L38)</f>
        <v>-0.000297796309526481</v>
      </c>
      <c r="N37" s="174" t="n">
        <v>51602.65</v>
      </c>
      <c r="O37" s="196" t="n">
        <f aca="false">LN(N37/N38)</f>
        <v>0.00993237651007373</v>
      </c>
    </row>
    <row r="38" s="35" customFormat="true" ht="14.4" hidden="false" customHeight="false" outlineLevel="0" collapsed="false">
      <c r="B38" s="199"/>
      <c r="E38" s="194" t="n">
        <v>45942</v>
      </c>
      <c r="F38" s="35" t="n">
        <v>1361.4</v>
      </c>
      <c r="G38" s="112" t="n">
        <f aca="false">LN(F38/F39)</f>
        <v>0.018085283911908</v>
      </c>
      <c r="H38" s="174" t="n">
        <v>56616.4</v>
      </c>
      <c r="I38" s="196" t="n">
        <f aca="false">LN(H38/H39)</f>
        <v>0.029575696782346</v>
      </c>
      <c r="K38" s="194" t="n">
        <v>45139</v>
      </c>
      <c r="L38" s="35" t="n">
        <v>1007.55</v>
      </c>
      <c r="M38" s="112" t="n">
        <f aca="false">LN(L38/L39)</f>
        <v>-0.00820405906263637</v>
      </c>
      <c r="N38" s="174" t="n">
        <v>51092.65</v>
      </c>
      <c r="O38" s="196" t="n">
        <f aca="false">LN(N38/N39)</f>
        <v>-0.029775793553134</v>
      </c>
    </row>
    <row r="39" s="35" customFormat="true" ht="14.4" hidden="false" customHeight="false" outlineLevel="0" collapsed="false">
      <c r="B39" s="199"/>
      <c r="E39" s="194" t="n">
        <v>45935</v>
      </c>
      <c r="F39" s="35" t="n">
        <v>1337</v>
      </c>
      <c r="G39" s="112" t="n">
        <f aca="false">LN(F39/F40)</f>
        <v>-0.0189663412376246</v>
      </c>
      <c r="H39" s="174" t="n">
        <v>54966.45</v>
      </c>
      <c r="I39" s="196" t="n">
        <f aca="false">LN(H39/H40)</f>
        <v>-0.00370720359422797</v>
      </c>
      <c r="K39" s="194" t="n">
        <v>45108</v>
      </c>
      <c r="L39" s="35" t="n">
        <v>1015.85</v>
      </c>
      <c r="M39" s="112" t="n">
        <f aca="false">LN(L39/L40)</f>
        <v>0.107621715166019</v>
      </c>
      <c r="N39" s="174" t="n">
        <v>52636.85</v>
      </c>
      <c r="O39" s="196" t="n">
        <f aca="false">LN(N39/N40)</f>
        <v>0.00843452968304635</v>
      </c>
    </row>
    <row r="40" s="35" customFormat="true" ht="14.4" hidden="false" customHeight="false" outlineLevel="0" collapsed="false">
      <c r="B40" s="199"/>
      <c r="E40" s="194" t="n">
        <v>45928</v>
      </c>
      <c r="F40" s="35" t="n">
        <v>1362.6</v>
      </c>
      <c r="G40" s="112" t="n">
        <f aca="false">LN(F40/F41)</f>
        <v>0.0490323775606127</v>
      </c>
      <c r="H40" s="174" t="n">
        <v>55170.6</v>
      </c>
      <c r="I40" s="196" t="n">
        <f aca="false">LN(H40/H41)</f>
        <v>0.00587268425176177</v>
      </c>
      <c r="K40" s="194" t="n">
        <v>45078</v>
      </c>
      <c r="L40" s="35" t="n">
        <v>912.2</v>
      </c>
      <c r="M40" s="112" t="n">
        <f aca="false">LN(L40/L41)</f>
        <v>0.0319679725178491</v>
      </c>
      <c r="N40" s="174" t="n">
        <v>52194.75</v>
      </c>
      <c r="O40" s="196" t="n">
        <f aca="false">LN(N40/N41)</f>
        <v>0.0223183982225324</v>
      </c>
    </row>
    <row r="41" s="35" customFormat="true" ht="14.4" hidden="false" customHeight="false" outlineLevel="0" collapsed="false">
      <c r="B41" s="199"/>
      <c r="E41" s="194" t="n">
        <v>45921</v>
      </c>
      <c r="F41" s="35" t="n">
        <v>1297.4</v>
      </c>
      <c r="G41" s="112" t="n">
        <f aca="false">LN(F41/F42)</f>
        <v>-0.0234623803276583</v>
      </c>
      <c r="H41" s="174" t="n">
        <v>54847.55</v>
      </c>
      <c r="I41" s="196" t="n">
        <f aca="false">LN(H41/H42)</f>
        <v>-0.0256582164770809</v>
      </c>
      <c r="K41" s="194" t="n">
        <v>45047</v>
      </c>
      <c r="L41" s="35" t="n">
        <v>883.5</v>
      </c>
      <c r="M41" s="112" t="n">
        <f aca="false">LN(L41/L42)</f>
        <v>0.128257909830844</v>
      </c>
      <c r="N41" s="174" t="n">
        <v>51042.75</v>
      </c>
      <c r="O41" s="196" t="n">
        <f aca="false">LN(N41/N42)</f>
        <v>0.0653429418163082</v>
      </c>
    </row>
    <row r="42" s="35" customFormat="true" ht="14.4" hidden="false" customHeight="false" outlineLevel="0" collapsed="false">
      <c r="B42" s="199"/>
      <c r="E42" s="194" t="n">
        <v>45914</v>
      </c>
      <c r="F42" s="35" t="n">
        <v>1328.2</v>
      </c>
      <c r="G42" s="112" t="n">
        <f aca="false">LN(F42/F43)</f>
        <v>0.0140265387712561</v>
      </c>
      <c r="H42" s="174" t="n">
        <v>56273.05</v>
      </c>
      <c r="I42" s="196" t="n">
        <f aca="false">LN(H42/H43)</f>
        <v>-0.00503589642495949</v>
      </c>
      <c r="K42" s="194" t="n">
        <v>45017</v>
      </c>
      <c r="L42" s="35" t="n">
        <v>777.15</v>
      </c>
      <c r="M42" s="112" t="n">
        <f aca="false">LN(L42/L43)</f>
        <v>0.0271952590669232</v>
      </c>
      <c r="N42" s="174" t="n">
        <v>47814.1</v>
      </c>
      <c r="O42" s="196" t="n">
        <f aca="false">LN(N42/N43)</f>
        <v>0.0407487098977804</v>
      </c>
    </row>
    <row r="43" s="35" customFormat="true" ht="14.4" hidden="false" customHeight="false" outlineLevel="0" collapsed="false">
      <c r="B43" s="199"/>
      <c r="E43" s="194" t="n">
        <v>45907</v>
      </c>
      <c r="F43" s="35" t="n">
        <v>1309.7</v>
      </c>
      <c r="G43" s="112" t="n">
        <f aca="false">LN(F43/F44)</f>
        <v>-0.00183080377631273</v>
      </c>
      <c r="H43" s="174" t="n">
        <v>56557.15</v>
      </c>
      <c r="I43" s="196" t="n">
        <f aca="false">LN(H43/H44)</f>
        <v>0.00469742576717845</v>
      </c>
      <c r="K43" s="194" t="n">
        <v>44986</v>
      </c>
      <c r="L43" s="35" t="n">
        <v>756.3</v>
      </c>
      <c r="M43" s="112" t="n">
        <f aca="false">LN(L43/L44)</f>
        <v>0.0209774543824713</v>
      </c>
      <c r="N43" s="174" t="n">
        <v>45904.9</v>
      </c>
      <c r="O43" s="196" t="n">
        <f aca="false">LN(N43/N44)</f>
        <v>0.0212335851231683</v>
      </c>
    </row>
    <row r="44" s="35" customFormat="true" ht="14.4" hidden="false" customHeight="false" outlineLevel="0" collapsed="false">
      <c r="B44" s="199"/>
      <c r="E44" s="194" t="n">
        <v>45900</v>
      </c>
      <c r="F44" s="35" t="n">
        <v>1312.1</v>
      </c>
      <c r="G44" s="112" t="n">
        <f aca="false">LN(F44/F45)</f>
        <v>0.000838702347970163</v>
      </c>
      <c r="H44" s="174" t="n">
        <v>56292.1</v>
      </c>
      <c r="I44" s="196" t="n">
        <f aca="false">LN(H44/H45)</f>
        <v>0.00267268186235843</v>
      </c>
      <c r="K44" s="194" t="n">
        <v>44958</v>
      </c>
      <c r="L44" s="35" t="n">
        <v>740.6</v>
      </c>
      <c r="M44" s="112" t="n">
        <f aca="false">LN(L44/L45)</f>
        <v>-0.037175060879096</v>
      </c>
      <c r="N44" s="174" t="n">
        <v>44940.45</v>
      </c>
      <c r="O44" s="196" t="n">
        <f aca="false">LN(N44/N45)</f>
        <v>0.0108180995491178</v>
      </c>
    </row>
    <row r="45" s="35" customFormat="true" ht="14.4" hidden="false" customHeight="false" outlineLevel="0" collapsed="false">
      <c r="B45" s="199"/>
      <c r="E45" s="194" t="n">
        <v>45893</v>
      </c>
      <c r="F45" s="35" t="n">
        <v>1311</v>
      </c>
      <c r="G45" s="112" t="n">
        <f aca="false">LN(F45/F46)</f>
        <v>-0.0143135466554177</v>
      </c>
      <c r="H45" s="174" t="n">
        <v>56141.85</v>
      </c>
      <c r="I45" s="196" t="n">
        <f aca="false">LN(H45/H46)</f>
        <v>0.00722925083067449</v>
      </c>
      <c r="K45" s="194" t="n">
        <v>44927</v>
      </c>
      <c r="L45" s="35" t="n">
        <v>768.65</v>
      </c>
      <c r="M45" s="112" t="n">
        <f aca="false">LN(L45/L46)</f>
        <v>-0.132498204415091</v>
      </c>
      <c r="N45" s="174" t="n">
        <v>44456.9</v>
      </c>
      <c r="O45" s="196" t="n">
        <f aca="false">LN(N45/N46)</f>
        <v>0.00644152772833315</v>
      </c>
    </row>
    <row r="46" s="35" customFormat="true" ht="14.4" hidden="false" customHeight="false" outlineLevel="0" collapsed="false">
      <c r="B46" s="199"/>
      <c r="E46" s="194" t="n">
        <v>45886</v>
      </c>
      <c r="F46" s="35" t="n">
        <v>1329.9</v>
      </c>
      <c r="G46" s="112" t="n">
        <f aca="false">LN(F46/F47)</f>
        <v>0.00800245852938669</v>
      </c>
      <c r="H46" s="174" t="n">
        <v>55737.45</v>
      </c>
      <c r="I46" s="196" t="n">
        <f aca="false">LN(H46/H47)</f>
        <v>0.019587785864152</v>
      </c>
      <c r="K46" s="194" t="n">
        <v>44896</v>
      </c>
      <c r="L46" s="35" t="n">
        <v>877.55</v>
      </c>
      <c r="M46" s="112" t="n">
        <f aca="false">LN(L46/L47)</f>
        <v>-0.0605207175289488</v>
      </c>
      <c r="N46" s="174" t="n">
        <v>44171.45</v>
      </c>
      <c r="O46" s="196" t="n">
        <f aca="false">LN(N46/N47)</f>
        <v>-0.0304366474093523</v>
      </c>
    </row>
    <row r="47" s="35" customFormat="true" ht="14.4" hidden="false" customHeight="false" outlineLevel="0" collapsed="false">
      <c r="B47" s="199"/>
      <c r="E47" s="194" t="n">
        <v>45879</v>
      </c>
      <c r="F47" s="35" t="n">
        <v>1319.3</v>
      </c>
      <c r="G47" s="112" t="n">
        <f aca="false">LN(F47/F48)</f>
        <v>0.0212969593538357</v>
      </c>
      <c r="H47" s="174" t="n">
        <v>54656.3</v>
      </c>
      <c r="I47" s="196" t="n">
        <f aca="false">LN(H47/H48)</f>
        <v>-0.00446616552828541</v>
      </c>
      <c r="K47" s="194" t="n">
        <v>44866</v>
      </c>
      <c r="L47" s="35" t="n">
        <v>932.3</v>
      </c>
      <c r="M47" s="112" t="n">
        <f aca="false">LN(L47/L48)</f>
        <v>0.0393236896018003</v>
      </c>
      <c r="N47" s="174" t="n">
        <v>45536.55</v>
      </c>
      <c r="O47" s="196" t="n">
        <f aca="false">LN(N47/N48)</f>
        <v>0.0276141480718013</v>
      </c>
    </row>
    <row r="48" s="35" customFormat="true" ht="14.4" hidden="false" customHeight="false" outlineLevel="0" collapsed="false">
      <c r="B48" s="199"/>
      <c r="E48" s="194" t="n">
        <v>45872</v>
      </c>
      <c r="F48" s="35" t="n">
        <v>1291.5</v>
      </c>
      <c r="G48" s="112" t="n">
        <f aca="false">LN(F48/F49)</f>
        <v>-0.0236439339709193</v>
      </c>
      <c r="H48" s="174" t="n">
        <v>54900.95</v>
      </c>
      <c r="I48" s="196" t="n">
        <f aca="false">LN(H48/H49)</f>
        <v>-0.023333611863532</v>
      </c>
      <c r="K48" s="194" t="n">
        <v>44835</v>
      </c>
      <c r="L48" s="35" t="n">
        <v>896.35</v>
      </c>
      <c r="M48" s="112" t="n">
        <f aca="false">LN(L48/L49)</f>
        <v>0.0621947163795296</v>
      </c>
      <c r="N48" s="174" t="n">
        <v>44296.3</v>
      </c>
      <c r="O48" s="196" t="n">
        <f aca="false">LN(N48/N49)</f>
        <v>-0.00246556147626563</v>
      </c>
    </row>
    <row r="49" s="35" customFormat="true" ht="14.4" hidden="false" customHeight="false" outlineLevel="0" collapsed="false">
      <c r="B49" s="199"/>
      <c r="E49" s="194" t="n">
        <v>45865</v>
      </c>
      <c r="F49" s="35" t="n">
        <v>1322.4</v>
      </c>
      <c r="G49" s="112" t="n">
        <f aca="false">LN(F49/F50)</f>
        <v>0.00972652044988939</v>
      </c>
      <c r="H49" s="174" t="n">
        <v>56197.05</v>
      </c>
      <c r="I49" s="196" t="n">
        <f aca="false">LN(H49/H50)</f>
        <v>0.0291976652254423</v>
      </c>
      <c r="K49" s="194" t="n">
        <v>44805</v>
      </c>
      <c r="L49" s="35" t="n">
        <v>842.3</v>
      </c>
      <c r="M49" s="112" t="n">
        <f aca="false">LN(L49/L50)</f>
        <v>0.0368206512881945</v>
      </c>
      <c r="N49" s="174" t="n">
        <v>44405.65</v>
      </c>
      <c r="O49" s="196" t="n">
        <f aca="false">LN(N49/N50)</f>
        <v>0.0132501360472636</v>
      </c>
    </row>
    <row r="50" s="35" customFormat="true" ht="14.4" hidden="false" customHeight="false" outlineLevel="0" collapsed="false">
      <c r="B50" s="199"/>
      <c r="E50" s="194" t="n">
        <v>45858</v>
      </c>
      <c r="F50" s="35" t="n">
        <v>1309.6</v>
      </c>
      <c r="G50" s="112" t="n">
        <f aca="false">LN(F50/F51)</f>
        <v>-0.03945270071509</v>
      </c>
      <c r="H50" s="174" t="n">
        <v>54579.95</v>
      </c>
      <c r="I50" s="196" t="n">
        <f aca="false">LN(H50/H51)</f>
        <v>-0.0346961553963907</v>
      </c>
      <c r="K50" s="194" t="n">
        <v>44774</v>
      </c>
      <c r="L50" s="35" t="n">
        <v>811.85</v>
      </c>
      <c r="M50" s="112" t="n">
        <f aca="false">LN(L50/L51)</f>
        <v>0.0413045481623753</v>
      </c>
      <c r="N50" s="174" t="n">
        <v>43821.15</v>
      </c>
      <c r="O50" s="196" t="n">
        <f aca="false">LN(N50/N51)</f>
        <v>0.0309090161612437</v>
      </c>
    </row>
    <row r="51" s="35" customFormat="true" ht="14.4" hidden="false" customHeight="false" outlineLevel="0" collapsed="false">
      <c r="B51" s="199"/>
      <c r="E51" s="194" t="n">
        <v>45851</v>
      </c>
      <c r="F51" s="35" t="n">
        <v>1362.3</v>
      </c>
      <c r="G51" s="112" t="n">
        <f aca="false">LN(F51/F52)</f>
        <v>0.00345601285199853</v>
      </c>
      <c r="H51" s="174" t="n">
        <v>56506.9</v>
      </c>
      <c r="I51" s="196" t="n">
        <f aca="false">LN(H51/H52)</f>
        <v>0.0106150280891193</v>
      </c>
      <c r="K51" s="194" t="n">
        <v>44743</v>
      </c>
      <c r="L51" s="35" t="n">
        <v>779</v>
      </c>
      <c r="M51" s="112" t="n">
        <f aca="false">LN(L51/L52)</f>
        <v>0.0250216140738458</v>
      </c>
      <c r="N51" s="174" t="n">
        <v>42487.4</v>
      </c>
      <c r="O51" s="196" t="n">
        <f aca="false">LN(N51/N52)</f>
        <v>0.120488227611058</v>
      </c>
    </row>
    <row r="52" s="35" customFormat="true" ht="14.4" hidden="false" customHeight="false" outlineLevel="0" collapsed="false">
      <c r="B52" s="199"/>
      <c r="E52" s="194" t="n">
        <v>45844</v>
      </c>
      <c r="F52" s="35" t="n">
        <v>1357.6</v>
      </c>
      <c r="G52" s="112" t="n">
        <f aca="false">LN(F52/F53)</f>
        <v>-0.0150598650030911</v>
      </c>
      <c r="H52" s="174" t="n">
        <v>55910.25</v>
      </c>
      <c r="I52" s="196" t="n">
        <f aca="false">LN(H52/H53)</f>
        <v>0.0212334060967543</v>
      </c>
      <c r="K52" s="194" t="n">
        <v>44713</v>
      </c>
      <c r="L52" s="35" t="n">
        <v>759.75</v>
      </c>
      <c r="M52" s="112" t="n">
        <f aca="false">LN(L52/L53)</f>
        <v>-0.0633038006448627</v>
      </c>
      <c r="N52" s="174" t="n">
        <v>37664.55</v>
      </c>
      <c r="O52" s="196" t="n">
        <f aca="false">LN(N52/N53)</f>
        <v>-0.0274677511005391</v>
      </c>
    </row>
    <row r="53" s="35" customFormat="true" ht="14.4" hidden="false" customHeight="false" outlineLevel="0" collapsed="false">
      <c r="B53" s="199"/>
      <c r="E53" s="194" t="n">
        <v>45837</v>
      </c>
      <c r="F53" s="35" t="n">
        <v>1378.2</v>
      </c>
      <c r="G53" s="112" t="n">
        <f aca="false">LN(F53/F54)</f>
        <v>-0.0453914255595516</v>
      </c>
      <c r="H53" s="174" t="n">
        <v>54735.6</v>
      </c>
      <c r="I53" s="196" t="n">
        <f aca="false">LN(H53/H54)</f>
        <v>-0.00679872179957312</v>
      </c>
      <c r="K53" s="194" t="n">
        <v>44682</v>
      </c>
      <c r="L53" s="35" t="n">
        <v>809.4</v>
      </c>
      <c r="M53" s="112" t="n">
        <f aca="false">LN(L53/L54)</f>
        <v>-0.0639476312518228</v>
      </c>
      <c r="N53" s="174" t="n">
        <v>38713.45</v>
      </c>
      <c r="O53" s="196" t="n">
        <f aca="false">LN(N53/N54)</f>
        <v>0.0132429364202998</v>
      </c>
    </row>
    <row r="54" s="35" customFormat="true" ht="14.4" hidden="false" customHeight="false" outlineLevel="0" collapsed="false">
      <c r="B54" s="199"/>
      <c r="E54" s="194" t="n">
        <v>45830</v>
      </c>
      <c r="F54" s="35" t="n">
        <v>1442.2</v>
      </c>
      <c r="G54" s="112" t="n">
        <f aca="false">LN(F54/F55)</f>
        <v>-0.0115130015951907</v>
      </c>
      <c r="H54" s="174" t="n">
        <v>55109</v>
      </c>
      <c r="I54" s="196" t="n">
        <f aca="false">LN(H54/H55)</f>
        <v>0.0087124702343454</v>
      </c>
      <c r="K54" s="194" t="n">
        <v>44652</v>
      </c>
      <c r="L54" s="35" t="n">
        <v>862.85</v>
      </c>
      <c r="M54" s="112" t="n">
        <f aca="false">LN(L54/L55)</f>
        <v>-0.0291249457883271</v>
      </c>
      <c r="N54" s="174" t="n">
        <v>38204.15</v>
      </c>
      <c r="O54" s="196" t="n">
        <f aca="false">LN(N54/N55)</f>
        <v>0.0514639297034748</v>
      </c>
    </row>
    <row r="55" s="35" customFormat="true" ht="14.4" hidden="false" customHeight="false" outlineLevel="0" collapsed="false">
      <c r="B55" s="199"/>
      <c r="E55" s="194" t="n">
        <v>45823</v>
      </c>
      <c r="F55" s="35" t="n">
        <v>1458.9</v>
      </c>
      <c r="G55" s="112" t="n">
        <f aca="false">LN(F55/F56)</f>
        <v>0.00398352175119968</v>
      </c>
      <c r="H55" s="174" t="n">
        <v>54630.95</v>
      </c>
      <c r="I55" s="196" t="n">
        <f aca="false">LN(H55/H56)</f>
        <v>0.00190182920528386</v>
      </c>
      <c r="K55" s="194" t="n">
        <v>44621</v>
      </c>
      <c r="L55" s="35" t="n">
        <v>888.35</v>
      </c>
      <c r="M55" s="112" t="n">
        <f aca="false">LN(L55/L56)</f>
        <v>0.00360868731062753</v>
      </c>
      <c r="N55" s="174" t="n">
        <v>36287.75</v>
      </c>
      <c r="O55" s="196" t="n">
        <f aca="false">LN(N55/N56)</f>
        <v>0.0215138135187168</v>
      </c>
    </row>
    <row r="56" s="35" customFormat="true" ht="14.4" hidden="false" customHeight="false" outlineLevel="0" collapsed="false">
      <c r="B56" s="199"/>
      <c r="E56" s="194" t="n">
        <v>45816</v>
      </c>
      <c r="F56" s="35" t="n">
        <v>1453.1</v>
      </c>
      <c r="G56" s="112" t="n">
        <f aca="false">LN(F56/F57)</f>
        <v>-0.0921708926196156</v>
      </c>
      <c r="H56" s="174" t="n">
        <v>54527.15</v>
      </c>
      <c r="I56" s="196" t="n">
        <f aca="false">LN(H56/H57)</f>
        <v>-0.0231235125496664</v>
      </c>
      <c r="K56" s="194" t="n">
        <v>44593</v>
      </c>
      <c r="L56" s="35" t="n">
        <v>885.15</v>
      </c>
      <c r="M56" s="112" t="n">
        <f aca="false">LN(L56/L57)</f>
        <v>0.0214104264845065</v>
      </c>
      <c r="N56" s="174" t="n">
        <v>35515.4</v>
      </c>
      <c r="O56" s="196" t="n">
        <f aca="false">LN(N56/N57)</f>
        <v>-0.0264481923024914</v>
      </c>
    </row>
    <row r="57" s="35" customFormat="true" ht="14.4" hidden="false" customHeight="false" outlineLevel="0" collapsed="false">
      <c r="B57" s="199"/>
      <c r="E57" s="194" t="n">
        <v>45809</v>
      </c>
      <c r="F57" s="35" t="n">
        <v>1593.4</v>
      </c>
      <c r="G57" s="112" t="n">
        <f aca="false">LN(F57/F58)</f>
        <v>0.047093975796292</v>
      </c>
      <c r="H57" s="174" t="n">
        <v>55802.7</v>
      </c>
      <c r="I57" s="196" t="n">
        <f aca="false">LN(H57/H58)</f>
        <v>0.00935680815141705</v>
      </c>
      <c r="K57" s="194" t="n">
        <v>44562</v>
      </c>
      <c r="L57" s="35" t="n">
        <v>866.4</v>
      </c>
      <c r="M57" s="112" t="n">
        <f aca="false">LN(L57/L58)</f>
        <v>-0.0361017303068473</v>
      </c>
      <c r="N57" s="174" t="n">
        <v>36467.25</v>
      </c>
      <c r="O57" s="196" t="n">
        <f aca="false">LN(N57/N58)</f>
        <v>-0.030056065953966</v>
      </c>
    </row>
    <row r="58" s="35" customFormat="true" ht="14.4" hidden="false" customHeight="false" outlineLevel="0" collapsed="false">
      <c r="B58" s="199"/>
      <c r="E58" s="194" t="n">
        <v>45802</v>
      </c>
      <c r="F58" s="35" t="n">
        <v>1520.1</v>
      </c>
      <c r="G58" s="112" t="n">
        <f aca="false">LN(F58/F59)</f>
        <v>-0.0379522798778693</v>
      </c>
      <c r="H58" s="174" t="n">
        <v>55283</v>
      </c>
      <c r="I58" s="196" t="n">
        <f aca="false">LN(H58/H59)</f>
        <v>-0.0218114735180125</v>
      </c>
      <c r="K58" s="194" t="n">
        <v>44531</v>
      </c>
      <c r="L58" s="35" t="n">
        <v>898.25</v>
      </c>
      <c r="M58" s="112" t="n">
        <f aca="false">LN(L58/L59)</f>
        <v>0.0171798521344948</v>
      </c>
      <c r="N58" s="174" t="n">
        <v>37579.95</v>
      </c>
      <c r="O58" s="196" t="n">
        <f aca="false">LN(N58/N59)</f>
        <v>0.00514895044069241</v>
      </c>
    </row>
    <row r="59" s="35" customFormat="true" ht="14.4" hidden="false" customHeight="false" outlineLevel="0" collapsed="false">
      <c r="B59" s="199"/>
      <c r="E59" s="194" t="n">
        <v>45795</v>
      </c>
      <c r="F59" s="35" t="n">
        <v>1578.9</v>
      </c>
      <c r="G59" s="112" t="n">
        <f aca="false">LN(F59/F60)</f>
        <v>0.0247511993974312</v>
      </c>
      <c r="H59" s="174" t="n">
        <v>56502.05</v>
      </c>
      <c r="I59" s="196" t="n">
        <f aca="false">LN(H59/H60)</f>
        <v>-0.00985797034910535</v>
      </c>
      <c r="K59" s="194" t="n">
        <v>44501</v>
      </c>
      <c r="L59" s="35" t="n">
        <v>882.95</v>
      </c>
      <c r="M59" s="112" t="n">
        <f aca="false">LN(L59/L60)</f>
        <v>-0.0704000392192378</v>
      </c>
      <c r="N59" s="174" t="n">
        <v>37386.95</v>
      </c>
      <c r="O59" s="196" t="n">
        <f aca="false">LN(N59/N60)</f>
        <v>-0.0220921693088501</v>
      </c>
    </row>
    <row r="60" s="35" customFormat="true" ht="14.4" hidden="false" customHeight="false" outlineLevel="0" collapsed="false">
      <c r="B60" s="199"/>
      <c r="E60" s="194" t="n">
        <v>45788</v>
      </c>
      <c r="F60" s="35" t="n">
        <v>1540.3</v>
      </c>
      <c r="G60" s="112" t="n">
        <f aca="false">LN(F60/F61)</f>
        <v>0.00592546093172206</v>
      </c>
      <c r="H60" s="174" t="n">
        <v>57061.8</v>
      </c>
      <c r="I60" s="196" t="n">
        <f aca="false">LN(H60/H61)</f>
        <v>0.0253583406591362</v>
      </c>
      <c r="K60" s="194" t="n">
        <v>44470</v>
      </c>
      <c r="L60" s="35" t="n">
        <v>947.35</v>
      </c>
      <c r="M60" s="112" t="n">
        <f aca="false">LN(L60/L61)</f>
        <v>0.104791839163722</v>
      </c>
      <c r="N60" s="174" t="n">
        <v>38222.1</v>
      </c>
      <c r="O60" s="196" t="n">
        <f aca="false">LN(N60/N61)</f>
        <v>-0.0560728649802349</v>
      </c>
    </row>
    <row r="61" s="35" customFormat="true" ht="14.4" hidden="false" customHeight="false" outlineLevel="0" collapsed="false">
      <c r="B61" s="199"/>
      <c r="E61" s="194" t="n">
        <v>45781</v>
      </c>
      <c r="F61" s="35" t="n">
        <v>1531.2</v>
      </c>
      <c r="G61" s="112" t="n">
        <f aca="false">LN(F61/F62)</f>
        <v>-0.0158095815829024</v>
      </c>
      <c r="H61" s="174" t="n">
        <v>55633</v>
      </c>
      <c r="I61" s="196" t="n">
        <f aca="false">LN(H61/H62)</f>
        <v>-0.0110694899145645</v>
      </c>
      <c r="K61" s="194" t="n">
        <v>44440</v>
      </c>
      <c r="L61" s="35" t="n">
        <v>853.1</v>
      </c>
      <c r="M61" s="112" t="n">
        <f aca="false">LN(L61/L62)</f>
        <v>0.17638446301374</v>
      </c>
      <c r="N61" s="174" t="n">
        <v>40426.55</v>
      </c>
      <c r="O61" s="196" t="n">
        <f aca="false">LN(N61/N62)</f>
        <v>0.0224344592308667</v>
      </c>
    </row>
    <row r="62" s="35" customFormat="true" ht="14.4" hidden="false" customHeight="false" outlineLevel="0" collapsed="false">
      <c r="B62" s="199"/>
      <c r="E62" s="194" t="n">
        <v>45774</v>
      </c>
      <c r="F62" s="35" t="n">
        <v>1555.6</v>
      </c>
      <c r="G62" s="112" t="n">
        <f aca="false">LN(F62/F63)</f>
        <v>0.00528522016623809</v>
      </c>
      <c r="H62" s="174" t="n">
        <v>56252.25</v>
      </c>
      <c r="I62" s="196" t="n">
        <f aca="false">LN(H62/H63)</f>
        <v>-0.00496700038594249</v>
      </c>
      <c r="K62" s="194" t="n">
        <v>44409</v>
      </c>
      <c r="L62" s="35" t="n">
        <v>715.15</v>
      </c>
      <c r="M62" s="112" t="n">
        <f aca="false">LN(L62/L63)</f>
        <v>0.109852945656729</v>
      </c>
      <c r="N62" s="174" t="n">
        <v>39529.7</v>
      </c>
      <c r="O62" s="196" t="n">
        <f aca="false">LN(N62/N63)</f>
        <v>0.0920927211879188</v>
      </c>
    </row>
    <row r="63" s="35" customFormat="true" ht="14.4" hidden="false" customHeight="false" outlineLevel="0" collapsed="false">
      <c r="B63" s="199"/>
      <c r="E63" s="194" t="n">
        <v>45767</v>
      </c>
      <c r="F63" s="35" t="n">
        <v>1547.4</v>
      </c>
      <c r="G63" s="112" t="n">
        <f aca="false">LN(F63/F64)</f>
        <v>0.0193141851455418</v>
      </c>
      <c r="H63" s="174" t="n">
        <v>56532.35</v>
      </c>
      <c r="I63" s="196" t="n">
        <f aca="false">LN(H63/H64)</f>
        <v>-0.00250604005223407</v>
      </c>
      <c r="K63" s="194" t="n">
        <v>44378</v>
      </c>
      <c r="L63" s="35" t="n">
        <v>640.75</v>
      </c>
      <c r="M63" s="112" t="n">
        <f aca="false">LN(L63/L64)</f>
        <v>-0.0320973499748779</v>
      </c>
      <c r="N63" s="174" t="n">
        <v>36051.9</v>
      </c>
      <c r="O63" s="196" t="n">
        <f aca="false">LN(N63/N64)</f>
        <v>-0.00114491502573116</v>
      </c>
    </row>
    <row r="64" s="35" customFormat="true" ht="14.4" hidden="false" customHeight="false" outlineLevel="0" collapsed="false">
      <c r="B64" s="199"/>
      <c r="E64" s="194" t="n">
        <v>45760</v>
      </c>
      <c r="F64" s="35" t="n">
        <v>1517.8</v>
      </c>
      <c r="G64" s="112" t="n">
        <f aca="false">LN(F64/F65)</f>
        <v>0.0273166215375478</v>
      </c>
      <c r="H64" s="174" t="n">
        <v>56674.2</v>
      </c>
      <c r="I64" s="196" t="n">
        <f aca="false">LN(H64/H65)</f>
        <v>0.0166013243821264</v>
      </c>
      <c r="K64" s="194" t="n">
        <v>44348</v>
      </c>
      <c r="L64" s="35" t="n">
        <v>661.65</v>
      </c>
      <c r="M64" s="112" t="n">
        <f aca="false">LN(L64/L65)</f>
        <v>0.0772694087853639</v>
      </c>
      <c r="N64" s="174" t="n">
        <v>36093.2</v>
      </c>
      <c r="O64" s="196" t="n">
        <f aca="false">LN(N64/N65)</f>
        <v>0.023834716527892</v>
      </c>
    </row>
    <row r="65" s="35" customFormat="true" ht="14.4" hidden="false" customHeight="false" outlineLevel="0" collapsed="false">
      <c r="B65" s="199"/>
      <c r="E65" s="194" t="n">
        <v>45753</v>
      </c>
      <c r="F65" s="35" t="n">
        <v>1476.9</v>
      </c>
      <c r="G65" s="112" t="n">
        <f aca="false">LN(F65/F66)</f>
        <v>0.0341257182323711</v>
      </c>
      <c r="H65" s="174" t="n">
        <v>55741.1</v>
      </c>
      <c r="I65" s="196" t="n">
        <f aca="false">LN(H65/H66)</f>
        <v>0.0348738199511149</v>
      </c>
      <c r="K65" s="194" t="n">
        <v>44317</v>
      </c>
      <c r="L65" s="35" t="n">
        <v>612.45</v>
      </c>
      <c r="M65" s="112" t="n">
        <f aca="false">LN(L65/L66)</f>
        <v>0.164504254135039</v>
      </c>
      <c r="N65" s="174" t="n">
        <v>35243.1</v>
      </c>
      <c r="O65" s="196" t="n">
        <f aca="false">LN(N65/N66)</f>
        <v>0.0470460252116916</v>
      </c>
    </row>
    <row r="66" s="35" customFormat="true" ht="14.4" hidden="false" customHeight="false" outlineLevel="0" collapsed="false">
      <c r="B66" s="199"/>
      <c r="E66" s="194" t="n">
        <v>45746</v>
      </c>
      <c r="F66" s="35" t="n">
        <v>1427.35</v>
      </c>
      <c r="G66" s="112" t="n">
        <f aca="false">LN(F66/F67)</f>
        <v>0.0184192010237216</v>
      </c>
      <c r="H66" s="174" t="n">
        <v>53830.7</v>
      </c>
      <c r="I66" s="196" t="n">
        <f aca="false">LN(H66/H67)</f>
        <v>0.00448518492925091</v>
      </c>
      <c r="K66" s="194" t="n">
        <v>44287</v>
      </c>
      <c r="L66" s="35" t="n">
        <v>519.55</v>
      </c>
      <c r="M66" s="112"/>
      <c r="N66" s="174" t="n">
        <v>33623.45</v>
      </c>
      <c r="O66" s="196"/>
    </row>
    <row r="67" s="35" customFormat="true" ht="14.4" hidden="false" customHeight="false" outlineLevel="0" collapsed="false">
      <c r="B67" s="199"/>
      <c r="E67" s="194" t="n">
        <v>45739</v>
      </c>
      <c r="F67" s="35" t="n">
        <v>1401.3</v>
      </c>
      <c r="G67" s="112" t="n">
        <f aca="false">LN(F67/F68)</f>
        <v>0.00694621289838519</v>
      </c>
      <c r="H67" s="174" t="n">
        <v>53589.8</v>
      </c>
      <c r="I67" s="196" t="n">
        <f aca="false">LN(H67/H68)</f>
        <v>0.011330080100469</v>
      </c>
    </row>
    <row r="68" s="35" customFormat="true" ht="14.4" hidden="false" customHeight="false" outlineLevel="0" collapsed="false">
      <c r="B68" s="199"/>
      <c r="E68" s="194" t="n">
        <v>45732</v>
      </c>
      <c r="F68" s="35" t="n">
        <v>1391.6</v>
      </c>
      <c r="G68" s="112" t="n">
        <f aca="false">LN(F68/F69)</f>
        <v>0.0276125800860464</v>
      </c>
      <c r="H68" s="174" t="n">
        <v>52986.05</v>
      </c>
      <c r="I68" s="196" t="n">
        <f aca="false">LN(H68/H69)</f>
        <v>0.0211097684539522</v>
      </c>
    </row>
    <row r="69" s="35" customFormat="true" ht="14.4" hidden="false" customHeight="false" outlineLevel="0" collapsed="false">
      <c r="B69" s="199"/>
      <c r="E69" s="194" t="n">
        <v>45725</v>
      </c>
      <c r="F69" s="35" t="n">
        <v>1353.7</v>
      </c>
      <c r="G69" s="112" t="n">
        <f aca="false">LN(F69/F70)</f>
        <v>0.0192804913421261</v>
      </c>
      <c r="H69" s="174" t="n">
        <v>51879.25</v>
      </c>
      <c r="I69" s="196" t="n">
        <f aca="false">LN(H69/H70)</f>
        <v>-0.000241878636887422</v>
      </c>
    </row>
    <row r="70" s="35" customFormat="true" ht="14.4" hidden="false" customHeight="false" outlineLevel="0" collapsed="false">
      <c r="B70" s="199"/>
      <c r="E70" s="194" t="n">
        <v>45718</v>
      </c>
      <c r="F70" s="35" t="n">
        <v>1327.85</v>
      </c>
      <c r="G70" s="112" t="n">
        <f aca="false">LN(F70/F71)</f>
        <v>0.0332304817093037</v>
      </c>
      <c r="H70" s="174" t="n">
        <v>51891.8</v>
      </c>
      <c r="I70" s="196" t="n">
        <f aca="false">LN(H70/H71)</f>
        <v>0.0234518570099925</v>
      </c>
    </row>
    <row r="71" s="35" customFormat="true" ht="14.4" hidden="false" customHeight="false" outlineLevel="0" collapsed="false">
      <c r="B71" s="199"/>
      <c r="E71" s="194" t="n">
        <v>45711</v>
      </c>
      <c r="F71" s="35" t="n">
        <v>1284.45</v>
      </c>
      <c r="G71" s="112" t="n">
        <f aca="false">LN(F71/F72)</f>
        <v>-0.0170211948203565</v>
      </c>
      <c r="H71" s="174" t="n">
        <v>50689</v>
      </c>
      <c r="I71" s="196" t="n">
        <f aca="false">LN(H71/H72)</f>
        <v>-0.0274205149589294</v>
      </c>
    </row>
    <row r="72" s="35" customFormat="true" ht="14.4" hidden="false" customHeight="false" outlineLevel="0" collapsed="false">
      <c r="B72" s="199"/>
      <c r="E72" s="194" t="n">
        <v>45704</v>
      </c>
      <c r="F72" s="35" t="n">
        <v>1306.5</v>
      </c>
      <c r="G72" s="112" t="n">
        <f aca="false">LN(F72/F73)</f>
        <v>-0.0433629655838236</v>
      </c>
      <c r="H72" s="174" t="n">
        <v>52098.15</v>
      </c>
      <c r="I72" s="196" t="n">
        <f aca="false">LN(H72/H73)</f>
        <v>-0.0197732140545</v>
      </c>
    </row>
    <row r="73" s="35" customFormat="true" ht="14.4" hidden="false" customHeight="false" outlineLevel="0" collapsed="false">
      <c r="B73" s="199"/>
      <c r="E73" s="194" t="n">
        <v>45697</v>
      </c>
      <c r="F73" s="35" t="n">
        <v>1364.4</v>
      </c>
      <c r="G73" s="112" t="n">
        <f aca="false">LN(F73/F74)</f>
        <v>-0.0452098909856746</v>
      </c>
      <c r="H73" s="174" t="n">
        <v>53138.55</v>
      </c>
      <c r="I73" s="196" t="n">
        <f aca="false">LN(H73/H74)</f>
        <v>-0.0364884127957765</v>
      </c>
    </row>
    <row r="74" s="35" customFormat="true" ht="14.4" hidden="false" customHeight="false" outlineLevel="0" collapsed="false">
      <c r="B74" s="199"/>
      <c r="E74" s="194" t="n">
        <v>45690</v>
      </c>
      <c r="F74" s="35" t="n">
        <v>1427.5</v>
      </c>
      <c r="G74" s="112" t="n">
        <f aca="false">LN(F74/F75)</f>
        <v>0.00245484955824429</v>
      </c>
      <c r="H74" s="174" t="n">
        <v>55113.3</v>
      </c>
      <c r="I74" s="196" t="n">
        <f aca="false">LN(H74/H75)</f>
        <v>-0.0282411590037011</v>
      </c>
    </row>
    <row r="75" s="35" customFormat="true" ht="14.4" hidden="false" customHeight="false" outlineLevel="0" collapsed="false">
      <c r="B75" s="199"/>
      <c r="E75" s="194" t="n">
        <v>45683</v>
      </c>
      <c r="F75" s="35" t="n">
        <v>1424</v>
      </c>
      <c r="G75" s="112" t="n">
        <f aca="false">LN(F75/F76)</f>
        <v>-0.0316225053104433</v>
      </c>
      <c r="H75" s="174" t="n">
        <v>56691.95</v>
      </c>
      <c r="I75" s="196" t="n">
        <f aca="false">LN(H75/H76)</f>
        <v>0.0110429079292725</v>
      </c>
    </row>
    <row r="76" s="35" customFormat="true" ht="14.4" hidden="false" customHeight="false" outlineLevel="0" collapsed="false">
      <c r="B76" s="199"/>
      <c r="E76" s="194" t="n">
        <v>45676</v>
      </c>
      <c r="F76" s="35" t="n">
        <v>1469.75</v>
      </c>
      <c r="G76" s="112" t="n">
        <f aca="false">LN(F76/F77)</f>
        <v>0.0291326300959023</v>
      </c>
      <c r="H76" s="174" t="n">
        <v>56069.35</v>
      </c>
      <c r="I76" s="196" t="n">
        <f aca="false">LN(H76/H77)</f>
        <v>0.00480021517018879</v>
      </c>
    </row>
    <row r="77" s="35" customFormat="true" ht="14.4" hidden="false" customHeight="false" outlineLevel="0" collapsed="false">
      <c r="B77" s="199"/>
      <c r="E77" s="194" t="n">
        <v>45669</v>
      </c>
      <c r="F77" s="35" t="n">
        <v>1427.55</v>
      </c>
      <c r="G77" s="112" t="n">
        <f aca="false">LN(F77/F78)</f>
        <v>-0.0752706277898658</v>
      </c>
      <c r="H77" s="174" t="n">
        <v>55800.85</v>
      </c>
      <c r="I77" s="196" t="n">
        <f aca="false">LN(H77/H78)</f>
        <v>-0.0233249488680298</v>
      </c>
    </row>
    <row r="78" s="35" customFormat="true" ht="14.4" hidden="false" customHeight="false" outlineLevel="0" collapsed="false">
      <c r="B78" s="199"/>
      <c r="E78" s="194" t="n">
        <v>45662</v>
      </c>
      <c r="F78" s="35" t="n">
        <v>1539.15</v>
      </c>
      <c r="G78" s="112" t="n">
        <f aca="false">LN(F78/F79)</f>
        <v>-0.0890207484189552</v>
      </c>
      <c r="H78" s="174" t="n">
        <v>57117.7</v>
      </c>
      <c r="I78" s="196" t="n">
        <f aca="false">LN(H78/H79)</f>
        <v>-0.0121687989670896</v>
      </c>
    </row>
    <row r="79" s="35" customFormat="true" ht="14.4" hidden="false" customHeight="false" outlineLevel="0" collapsed="false">
      <c r="B79" s="199"/>
      <c r="E79" s="194" t="n">
        <v>45655</v>
      </c>
      <c r="F79" s="35" t="n">
        <v>1682.45</v>
      </c>
      <c r="G79" s="112" t="n">
        <f aca="false">LN(F79/F80)</f>
        <v>0.0632060363318024</v>
      </c>
      <c r="H79" s="174" t="n">
        <v>57817</v>
      </c>
      <c r="I79" s="196" t="n">
        <f aca="false">LN(H79/H80)</f>
        <v>0.0240294247268353</v>
      </c>
    </row>
    <row r="80" s="35" customFormat="true" ht="14.4" hidden="false" customHeight="false" outlineLevel="0" collapsed="false">
      <c r="B80" s="199"/>
      <c r="E80" s="194" t="n">
        <v>45648</v>
      </c>
      <c r="F80" s="35" t="n">
        <v>1579.4</v>
      </c>
      <c r="G80" s="112" t="n">
        <f aca="false">LN(F80/F81)</f>
        <v>0.0221505759491761</v>
      </c>
      <c r="H80" s="174" t="n">
        <v>56444.25</v>
      </c>
      <c r="I80" s="196" t="n">
        <f aca="false">LN(H80/H81)</f>
        <v>0.0150558357122071</v>
      </c>
    </row>
    <row r="81" s="35" customFormat="true" ht="14.4" hidden="false" customHeight="false" outlineLevel="0" collapsed="false">
      <c r="B81" s="199"/>
      <c r="E81" s="194" t="n">
        <v>45641</v>
      </c>
      <c r="F81" s="35" t="n">
        <v>1544.8</v>
      </c>
      <c r="G81" s="112" t="n">
        <f aca="false">LN(F81/F82)</f>
        <v>0.0214281061385177</v>
      </c>
      <c r="H81" s="174" t="n">
        <v>55600.8</v>
      </c>
      <c r="I81" s="196" t="n">
        <f aca="false">LN(H81/H82)</f>
        <v>-0.0225598212427654</v>
      </c>
    </row>
    <row r="82" s="35" customFormat="true" ht="14.4" hidden="false" customHeight="false" outlineLevel="0" collapsed="false">
      <c r="B82" s="199"/>
      <c r="E82" s="194" t="n">
        <v>45634</v>
      </c>
      <c r="F82" s="35" t="n">
        <v>1512.05</v>
      </c>
      <c r="G82" s="112" t="n">
        <f aca="false">LN(F82/F83)</f>
        <v>-0.00300464129104814</v>
      </c>
      <c r="H82" s="174" t="n">
        <v>56869.4</v>
      </c>
      <c r="I82" s="196" t="n">
        <f aca="false">LN(H82/H83)</f>
        <v>-0.0152672323469104</v>
      </c>
    </row>
    <row r="83" s="35" customFormat="true" ht="14.4" hidden="false" customHeight="false" outlineLevel="0" collapsed="false">
      <c r="B83" s="199"/>
      <c r="E83" s="194" t="n">
        <v>45627</v>
      </c>
      <c r="F83" s="35" t="n">
        <v>1516.6</v>
      </c>
      <c r="G83" s="112" t="n">
        <f aca="false">LN(F83/F84)</f>
        <v>-0.00820833974727061</v>
      </c>
      <c r="H83" s="174" t="n">
        <v>57744.3</v>
      </c>
      <c r="I83" s="196" t="n">
        <f aca="false">LN(H83/H84)</f>
        <v>-0.00344720623503972</v>
      </c>
    </row>
    <row r="84" s="35" customFormat="true" ht="14.4" hidden="false" customHeight="false" outlineLevel="0" collapsed="false">
      <c r="B84" s="199"/>
      <c r="E84" s="194" t="n">
        <v>45620</v>
      </c>
      <c r="F84" s="35" t="n">
        <v>1529.1</v>
      </c>
      <c r="G84" s="112" t="n">
        <f aca="false">LN(F84/F85)</f>
        <v>0.0191142239234709</v>
      </c>
      <c r="H84" s="174" t="n">
        <v>57943.7</v>
      </c>
      <c r="I84" s="196" t="n">
        <f aca="false">LN(H84/H85)</f>
        <v>0.0171849087436781</v>
      </c>
    </row>
    <row r="85" s="35" customFormat="true" ht="14.4" hidden="false" customHeight="false" outlineLevel="0" collapsed="false">
      <c r="B85" s="199"/>
      <c r="E85" s="194" t="n">
        <v>45613</v>
      </c>
      <c r="F85" s="35" t="n">
        <v>1500.15</v>
      </c>
      <c r="G85" s="112" t="n">
        <f aca="false">LN(F85/F86)</f>
        <v>0.0392913752504951</v>
      </c>
      <c r="H85" s="174" t="n">
        <v>56956.45</v>
      </c>
      <c r="I85" s="196" t="n">
        <f aca="false">LN(H85/H86)</f>
        <v>0.0208231552493461</v>
      </c>
    </row>
    <row r="86" s="35" customFormat="true" ht="14.4" hidden="false" customHeight="false" outlineLevel="0" collapsed="false">
      <c r="B86" s="199"/>
      <c r="E86" s="194" t="n">
        <v>45606</v>
      </c>
      <c r="F86" s="35" t="n">
        <v>1442.35</v>
      </c>
      <c r="G86" s="112" t="n">
        <f aca="false">LN(F86/F87)</f>
        <v>-0.00435836040991515</v>
      </c>
      <c r="H86" s="174" t="n">
        <v>55782.7</v>
      </c>
      <c r="I86" s="196" t="n">
        <f aca="false">LN(H86/H87)</f>
        <v>-0.045156657113418</v>
      </c>
    </row>
    <row r="87" s="35" customFormat="true" ht="14.4" hidden="false" customHeight="false" outlineLevel="0" collapsed="false">
      <c r="B87" s="199"/>
      <c r="E87" s="194" t="n">
        <v>45599</v>
      </c>
      <c r="F87" s="35" t="n">
        <v>1448.65</v>
      </c>
      <c r="G87" s="112" t="n">
        <f aca="false">LN(F87/F88)</f>
        <v>-0.00310152567874938</v>
      </c>
      <c r="H87" s="174" t="n">
        <v>58359.4</v>
      </c>
      <c r="I87" s="196" t="n">
        <f aca="false">LN(H87/H88)</f>
        <v>-0.0182325502011438</v>
      </c>
    </row>
    <row r="88" s="35" customFormat="true" ht="14.4" hidden="false" customHeight="false" outlineLevel="0" collapsed="false">
      <c r="B88" s="199"/>
      <c r="E88" s="194" t="n">
        <v>45592</v>
      </c>
      <c r="F88" s="35" t="n">
        <v>1453.15</v>
      </c>
      <c r="G88" s="112" t="n">
        <f aca="false">LN(F88/F89)</f>
        <v>-0.0184435998345618</v>
      </c>
      <c r="H88" s="174" t="n">
        <v>59433.2</v>
      </c>
      <c r="I88" s="196" t="n">
        <f aca="false">LN(H88/H89)</f>
        <v>0.00886760014908828</v>
      </c>
    </row>
    <row r="89" s="35" customFormat="true" ht="14.4" hidden="false" customHeight="false" outlineLevel="0" collapsed="false">
      <c r="B89" s="199"/>
      <c r="E89" s="194" t="n">
        <v>45585</v>
      </c>
      <c r="F89" s="35" t="n">
        <v>1480.2</v>
      </c>
      <c r="G89" s="112" t="n">
        <f aca="false">LN(F89/F90)</f>
        <v>-0.0260395782520986</v>
      </c>
      <c r="H89" s="174" t="n">
        <v>58908.5</v>
      </c>
      <c r="I89" s="196" t="n">
        <f aca="false">LN(H89/H90)</f>
        <v>-0.0355783974147365</v>
      </c>
    </row>
    <row r="90" s="35" customFormat="true" ht="14.4" hidden="false" customHeight="false" outlineLevel="0" collapsed="false">
      <c r="B90" s="199"/>
      <c r="E90" s="194" t="n">
        <v>45578</v>
      </c>
      <c r="F90" s="35" t="n">
        <v>1519.25</v>
      </c>
      <c r="G90" s="112" t="n">
        <f aca="false">LN(F90/F91)</f>
        <v>-0.000197446361046856</v>
      </c>
      <c r="H90" s="174" t="n">
        <v>61042.1</v>
      </c>
      <c r="I90" s="196" t="n">
        <f aca="false">LN(H90/H91)</f>
        <v>-0.0168633074651246</v>
      </c>
    </row>
    <row r="91" s="35" customFormat="true" ht="14.4" hidden="false" customHeight="false" outlineLevel="0" collapsed="false">
      <c r="B91" s="199"/>
      <c r="E91" s="194" t="n">
        <v>45571</v>
      </c>
      <c r="F91" s="35" t="n">
        <v>1519.55</v>
      </c>
      <c r="G91" s="112" t="n">
        <f aca="false">LN(F91/F92)</f>
        <v>-0.00773546090662259</v>
      </c>
      <c r="H91" s="174" t="n">
        <v>62080.2</v>
      </c>
      <c r="I91" s="196" t="n">
        <f aca="false">LN(H91/H92)</f>
        <v>-0.0207220456356003</v>
      </c>
    </row>
    <row r="92" s="35" customFormat="true" ht="14.4" hidden="false" customHeight="false" outlineLevel="0" collapsed="false">
      <c r="B92" s="199"/>
      <c r="E92" s="194" t="n">
        <v>45564</v>
      </c>
      <c r="F92" s="35" t="n">
        <v>1531.35</v>
      </c>
      <c r="G92" s="112" t="n">
        <f aca="false">LN(F92/F93)</f>
        <v>-0.0417266689285643</v>
      </c>
      <c r="H92" s="174" t="n">
        <v>63380.05</v>
      </c>
      <c r="I92" s="196" t="n">
        <f aca="false">LN(H92/H93)</f>
        <v>-0.0381611862158798</v>
      </c>
    </row>
    <row r="93" s="35" customFormat="true" ht="14.4" hidden="false" customHeight="false" outlineLevel="0" collapsed="false">
      <c r="B93" s="199"/>
      <c r="E93" s="194" t="n">
        <v>45557</v>
      </c>
      <c r="F93" s="35" t="n">
        <v>1596.6</v>
      </c>
      <c r="G93" s="112" t="n">
        <f aca="false">LN(F93/F94)</f>
        <v>0.0141609241726859</v>
      </c>
      <c r="H93" s="174" t="n">
        <v>65845.45</v>
      </c>
      <c r="I93" s="196" t="n">
        <f aca="false">LN(H93/H94)</f>
        <v>-0.000384918342467171</v>
      </c>
    </row>
    <row r="94" s="35" customFormat="true" ht="14.4" hidden="false" customHeight="false" outlineLevel="0" collapsed="false">
      <c r="B94" s="199"/>
      <c r="E94" s="194" t="n">
        <v>45550</v>
      </c>
      <c r="F94" s="35" t="n">
        <v>1574.15</v>
      </c>
      <c r="G94" s="112" t="n">
        <f aca="false">LN(F94/F95)</f>
        <v>0.0328035869596861</v>
      </c>
      <c r="H94" s="174" t="n">
        <v>65870.8</v>
      </c>
      <c r="I94" s="196" t="n">
        <f aca="false">LN(H94/H95)</f>
        <v>0.0123422903976396</v>
      </c>
    </row>
    <row r="95" s="35" customFormat="true" ht="14.4" hidden="false" customHeight="false" outlineLevel="0" collapsed="false">
      <c r="B95" s="199"/>
      <c r="E95" s="194" t="n">
        <v>45543</v>
      </c>
      <c r="F95" s="35" t="n">
        <v>1523.35</v>
      </c>
      <c r="G95" s="112" t="n">
        <f aca="false">LN(F95/F96)</f>
        <v>0.0413117151840793</v>
      </c>
      <c r="H95" s="174" t="n">
        <v>65062.8</v>
      </c>
      <c r="I95" s="196" t="n">
        <f aca="false">LN(H95/H96)</f>
        <v>0.0294332237702845</v>
      </c>
    </row>
    <row r="96" s="35" customFormat="true" ht="14.4" hidden="false" customHeight="false" outlineLevel="0" collapsed="false">
      <c r="B96" s="199"/>
      <c r="E96" s="194" t="n">
        <v>45536</v>
      </c>
      <c r="F96" s="35" t="n">
        <v>1461.7</v>
      </c>
      <c r="G96" s="112" t="n">
        <f aca="false">LN(F96/F97)</f>
        <v>-0.00861707278550094</v>
      </c>
      <c r="H96" s="174" t="n">
        <v>63175.7</v>
      </c>
      <c r="I96" s="196" t="n">
        <f aca="false">LN(H96/H97)</f>
        <v>0.00183704391449979</v>
      </c>
    </row>
    <row r="97" s="35" customFormat="true" ht="14.4" hidden="false" customHeight="false" outlineLevel="0" collapsed="false">
      <c r="B97" s="199"/>
      <c r="E97" s="194" t="n">
        <v>45529</v>
      </c>
      <c r="F97" s="35" t="n">
        <v>1474.35</v>
      </c>
      <c r="G97" s="112" t="n">
        <f aca="false">LN(F97/F98)</f>
        <v>0.0307875556290034</v>
      </c>
      <c r="H97" s="174" t="n">
        <v>63059.75</v>
      </c>
      <c r="I97" s="196" t="n">
        <f aca="false">LN(H97/H98)</f>
        <v>-0.00552706022379464</v>
      </c>
    </row>
    <row r="98" s="35" customFormat="true" ht="14.4" hidden="false" customHeight="false" outlineLevel="0" collapsed="false">
      <c r="B98" s="199"/>
      <c r="E98" s="194" t="n">
        <v>45522</v>
      </c>
      <c r="F98" s="35" t="n">
        <v>1429.65</v>
      </c>
      <c r="G98" s="112" t="n">
        <f aca="false">LN(F98/F99)</f>
        <v>0.0164675171755427</v>
      </c>
      <c r="H98" s="174" t="n">
        <v>63409.25</v>
      </c>
      <c r="I98" s="196" t="n">
        <f aca="false">LN(H98/H99)</f>
        <v>0.0190457687321376</v>
      </c>
    </row>
    <row r="99" s="35" customFormat="true" ht="14.4" hidden="false" customHeight="false" outlineLevel="0" collapsed="false">
      <c r="B99" s="199"/>
      <c r="E99" s="194" t="n">
        <v>45515</v>
      </c>
      <c r="F99" s="35" t="n">
        <v>1406.3</v>
      </c>
      <c r="G99" s="112" t="n">
        <f aca="false">LN(F99/F100)</f>
        <v>-0.0340093938777578</v>
      </c>
      <c r="H99" s="174" t="n">
        <v>62213</v>
      </c>
      <c r="I99" s="196" t="n">
        <f aca="false">LN(H99/H100)</f>
        <v>0.000894907889444632</v>
      </c>
    </row>
    <row r="100" s="35" customFormat="true" ht="14.4" hidden="false" customHeight="false" outlineLevel="0" collapsed="false">
      <c r="B100" s="199"/>
      <c r="E100" s="194" t="n">
        <v>45508</v>
      </c>
      <c r="F100" s="35" t="n">
        <v>1454.95</v>
      </c>
      <c r="G100" s="112" t="n">
        <f aca="false">LN(F100/F101)</f>
        <v>0.0236106866568591</v>
      </c>
      <c r="H100" s="174" t="n">
        <v>62157.35</v>
      </c>
      <c r="I100" s="196" t="n">
        <f aca="false">LN(H100/H101)</f>
        <v>0.00665364331965344</v>
      </c>
    </row>
    <row r="101" s="35" customFormat="true" ht="14.4" hidden="false" customHeight="false" outlineLevel="0" collapsed="false">
      <c r="B101" s="199"/>
      <c r="E101" s="194" t="n">
        <v>45501</v>
      </c>
      <c r="F101" s="35" t="n">
        <v>1421</v>
      </c>
      <c r="G101" s="112" t="n">
        <f aca="false">LN(F101/F102)</f>
        <v>0.00394867245541628</v>
      </c>
      <c r="H101" s="174" t="n">
        <v>61745.15</v>
      </c>
      <c r="I101" s="196" t="n">
        <f aca="false">LN(H101/H102)</f>
        <v>-0.0158052424092773</v>
      </c>
    </row>
    <row r="102" s="35" customFormat="true" ht="14.4" hidden="false" customHeight="false" outlineLevel="0" collapsed="false">
      <c r="B102" s="199"/>
      <c r="E102" s="194" t="n">
        <v>45494</v>
      </c>
      <c r="F102" s="35" t="n">
        <v>1415.4</v>
      </c>
      <c r="G102" s="112" t="n">
        <f aca="false">LN(F102/F103)</f>
        <v>0.086780180934346</v>
      </c>
      <c r="H102" s="174" t="n">
        <v>62728.8</v>
      </c>
      <c r="I102" s="196" t="n">
        <f aca="false">LN(H102/H103)</f>
        <v>0.0265068617633343</v>
      </c>
    </row>
    <row r="103" s="35" customFormat="true" ht="14.4" hidden="false" customHeight="false" outlineLevel="0" collapsed="false">
      <c r="B103" s="199"/>
      <c r="E103" s="194" t="n">
        <v>45487</v>
      </c>
      <c r="F103" s="35" t="n">
        <v>1297.75</v>
      </c>
      <c r="G103" s="112" t="n">
        <f aca="false">LN(F103/F104)</f>
        <v>0.00626113199441909</v>
      </c>
      <c r="H103" s="174" t="n">
        <v>61087.9</v>
      </c>
      <c r="I103" s="196" t="n">
        <f aca="false">LN(H103/H104)</f>
        <v>0.0225505598707934</v>
      </c>
    </row>
    <row r="104" s="35" customFormat="true" ht="14.4" hidden="false" customHeight="false" outlineLevel="0" collapsed="false">
      <c r="B104" s="199"/>
      <c r="E104" s="194" t="n">
        <v>45480</v>
      </c>
      <c r="F104" s="35" t="n">
        <v>1289.65</v>
      </c>
      <c r="G104" s="112" t="n">
        <f aca="false">LN(F104/F105)</f>
        <v>0.0279128114487427</v>
      </c>
      <c r="H104" s="174" t="n">
        <v>59725.75</v>
      </c>
      <c r="I104" s="196" t="n">
        <f aca="false">LN(H104/H105)</f>
        <v>0.034974124299724</v>
      </c>
    </row>
    <row r="105" s="35" customFormat="true" ht="14.4" hidden="false" customHeight="false" outlineLevel="0" collapsed="false">
      <c r="B105" s="199"/>
      <c r="E105" s="194" t="n">
        <v>45473</v>
      </c>
      <c r="F105" s="35" t="n">
        <v>1254.15</v>
      </c>
      <c r="G105" s="112" t="n">
        <f aca="false">LN(F105/F106)</f>
        <v>-0.0176639054173618</v>
      </c>
      <c r="H105" s="174" t="n">
        <v>57673</v>
      </c>
      <c r="I105" s="196" t="n">
        <f aca="false">LN(H105/H106)</f>
        <v>0.016012772465683</v>
      </c>
    </row>
    <row r="106" s="35" customFormat="true" ht="14.4" hidden="false" customHeight="false" outlineLevel="0" collapsed="false">
      <c r="B106" s="199"/>
      <c r="E106" s="194" t="n">
        <v>45466</v>
      </c>
      <c r="F106" s="35" t="n">
        <v>1276.5</v>
      </c>
      <c r="G106" s="112" t="n">
        <f aca="false">LN(F106/F107)</f>
        <v>0.0124944967368815</v>
      </c>
      <c r="H106" s="174" t="n">
        <v>56756.85</v>
      </c>
      <c r="I106" s="196" t="n">
        <f aca="false">LN(H106/H107)</f>
        <v>0.013601464530656</v>
      </c>
    </row>
    <row r="107" s="35" customFormat="true" ht="14.4" hidden="false" customHeight="false" outlineLevel="0" collapsed="false">
      <c r="B107" s="199"/>
      <c r="E107" s="194" t="n">
        <v>45459</v>
      </c>
      <c r="F107" s="35" t="n">
        <v>1260.65</v>
      </c>
      <c r="G107" s="112" t="n">
        <f aca="false">LN(F107/F108)</f>
        <v>-0.00660172776973061</v>
      </c>
      <c r="H107" s="174" t="n">
        <v>55990.1</v>
      </c>
      <c r="I107" s="196" t="n">
        <f aca="false">LN(H107/H108)</f>
        <v>-0.0218308299837701</v>
      </c>
    </row>
    <row r="108" s="35" customFormat="true" ht="14.4" hidden="false" customHeight="false" outlineLevel="0" collapsed="false">
      <c r="B108" s="199"/>
      <c r="E108" s="194" t="n">
        <v>45452</v>
      </c>
      <c r="F108" s="35" t="n">
        <v>1269</v>
      </c>
      <c r="G108" s="112" t="n">
        <f aca="false">LN(F108/F109)</f>
        <v>-0.0299259684113071</v>
      </c>
      <c r="H108" s="174" t="n">
        <v>57225.85</v>
      </c>
      <c r="I108" s="196" t="n">
        <f aca="false">LN(H108/H109)</f>
        <v>-0.0126326571942843</v>
      </c>
    </row>
    <row r="109" s="35" customFormat="true" ht="14.4" hidden="false" customHeight="false" outlineLevel="0" collapsed="false">
      <c r="B109" s="199"/>
      <c r="E109" s="194" t="n">
        <v>45445</v>
      </c>
      <c r="F109" s="35" t="n">
        <v>1307.55</v>
      </c>
      <c r="G109" s="112" t="n">
        <f aca="false">LN(F109/F110)</f>
        <v>0.120252527220062</v>
      </c>
      <c r="H109" s="174" t="n">
        <v>57953.35</v>
      </c>
      <c r="I109" s="196" t="n">
        <f aca="false">LN(H109/H110)</f>
        <v>0.0686683404267059</v>
      </c>
    </row>
    <row r="110" s="35" customFormat="true" ht="14.4" hidden="false" customHeight="false" outlineLevel="0" collapsed="false">
      <c r="B110" s="199"/>
      <c r="E110" s="194" t="n">
        <v>45438</v>
      </c>
      <c r="F110" s="35" t="n">
        <v>1159.4</v>
      </c>
      <c r="G110" s="112" t="n">
        <f aca="false">LN(F110/F111)</f>
        <v>-0.0162125249284716</v>
      </c>
      <c r="H110" s="174" t="n">
        <v>54107.35</v>
      </c>
      <c r="I110" s="196" t="n">
        <f aca="false">LN(H110/H111)</f>
        <v>-0.02449634840977</v>
      </c>
    </row>
    <row r="111" s="35" customFormat="true" ht="14.4" hidden="false" customHeight="false" outlineLevel="0" collapsed="false">
      <c r="B111" s="199"/>
      <c r="E111" s="194" t="n">
        <v>45431</v>
      </c>
      <c r="F111" s="35" t="n">
        <v>1178.35</v>
      </c>
      <c r="G111" s="112" t="n">
        <f aca="false">LN(F111/F112)</f>
        <v>-0.00355796893616764</v>
      </c>
      <c r="H111" s="174" t="n">
        <v>55449.15</v>
      </c>
      <c r="I111" s="196" t="n">
        <f aca="false">LN(H111/H112)</f>
        <v>0.00695752705826236</v>
      </c>
    </row>
    <row r="112" s="35" customFormat="true" ht="14.4" hidden="false" customHeight="false" outlineLevel="0" collapsed="false">
      <c r="B112" s="199"/>
      <c r="E112" s="194" t="n">
        <v>45424</v>
      </c>
      <c r="F112" s="35" t="n">
        <v>1182.55</v>
      </c>
      <c r="G112" s="112" t="n">
        <f aca="false">LN(F112/F113)</f>
        <v>-0.016646435668493</v>
      </c>
      <c r="H112" s="174" t="n">
        <v>55064.7</v>
      </c>
      <c r="I112" s="196" t="n">
        <f aca="false">LN(H112/H113)</f>
        <v>-0.00383900592208612</v>
      </c>
    </row>
    <row r="113" s="35" customFormat="true" ht="14.4" hidden="false" customHeight="false" outlineLevel="0" collapsed="false">
      <c r="B113" s="199"/>
      <c r="E113" s="194" t="n">
        <v>45417</v>
      </c>
      <c r="F113" s="35" t="n">
        <v>1202.4</v>
      </c>
      <c r="G113" s="112" t="n">
        <f aca="false">LN(F113/F114)</f>
        <v>-0.00489485359449766</v>
      </c>
      <c r="H113" s="174" t="n">
        <v>55276.5</v>
      </c>
      <c r="I113" s="196" t="n">
        <f aca="false">LN(H113/H114)</f>
        <v>0.0183044150163873</v>
      </c>
    </row>
    <row r="114" s="35" customFormat="true" ht="14.4" hidden="false" customHeight="false" outlineLevel="0" collapsed="false">
      <c r="B114" s="199"/>
      <c r="E114" s="194" t="n">
        <v>45410</v>
      </c>
      <c r="F114" s="35" t="n">
        <v>1208.3</v>
      </c>
      <c r="G114" s="112" t="n">
        <f aca="false">LN(F114/F115)</f>
        <v>0.00776823929312471</v>
      </c>
      <c r="H114" s="174" t="n">
        <v>54273.9</v>
      </c>
      <c r="I114" s="196" t="n">
        <f aca="false">LN(H114/H115)</f>
        <v>-0.00049459059821676</v>
      </c>
    </row>
    <row r="115" s="35" customFormat="true" ht="14.4" hidden="false" customHeight="false" outlineLevel="0" collapsed="false">
      <c r="B115" s="199"/>
      <c r="E115" s="194" t="n">
        <v>45403</v>
      </c>
      <c r="F115" s="35" t="n">
        <v>1198.95</v>
      </c>
      <c r="G115" s="112" t="n">
        <f aca="false">LN(F115/F116)</f>
        <v>0.0653534547711474</v>
      </c>
      <c r="H115" s="174" t="n">
        <v>54300.75</v>
      </c>
      <c r="I115" s="196" t="n">
        <f aca="false">LN(H115/H116)</f>
        <v>0.0232004459454084</v>
      </c>
    </row>
    <row r="116" s="35" customFormat="true" ht="14.4" hidden="false" customHeight="false" outlineLevel="0" collapsed="false">
      <c r="B116" s="199"/>
      <c r="E116" s="194" t="n">
        <v>45396</v>
      </c>
      <c r="F116" s="35" t="n">
        <v>1123.1</v>
      </c>
      <c r="G116" s="112" t="n">
        <f aca="false">LN(F116/F117)</f>
        <v>-0.0519185996893073</v>
      </c>
      <c r="H116" s="174" t="n">
        <v>53055.45</v>
      </c>
      <c r="I116" s="196" t="n">
        <f aca="false">LN(H116/H117)</f>
        <v>-0.012101478884693</v>
      </c>
    </row>
    <row r="117" s="35" customFormat="true" ht="14.4" hidden="false" customHeight="false" outlineLevel="0" collapsed="false">
      <c r="B117" s="199"/>
      <c r="E117" s="194" t="n">
        <v>45389</v>
      </c>
      <c r="F117" s="35" t="n">
        <v>1182.95</v>
      </c>
      <c r="G117" s="112" t="n">
        <f aca="false">LN(F117/F118)</f>
        <v>0.0472992435138973</v>
      </c>
      <c r="H117" s="174" t="n">
        <v>53701.4</v>
      </c>
      <c r="I117" s="196" t="n">
        <f aca="false">LN(H117/H118)</f>
        <v>-0.00417273724229045</v>
      </c>
    </row>
    <row r="118" s="35" customFormat="true" ht="14.4" hidden="false" customHeight="false" outlineLevel="0" collapsed="false">
      <c r="B118" s="199"/>
      <c r="E118" s="194" t="n">
        <v>45382</v>
      </c>
      <c r="F118" s="35" t="n">
        <v>1128.3</v>
      </c>
      <c r="G118" s="112" t="n">
        <f aca="false">LN(F118/F119)</f>
        <v>-0.00525956439967287</v>
      </c>
      <c r="H118" s="174" t="n">
        <v>53925.95</v>
      </c>
      <c r="I118" s="196" t="n">
        <f aca="false">LN(H118/H119)</f>
        <v>-0.000431053868476722</v>
      </c>
    </row>
    <row r="119" s="35" customFormat="true" ht="14.4" hidden="false" customHeight="false" outlineLevel="0" collapsed="false">
      <c r="B119" s="199"/>
      <c r="E119" s="194" t="n">
        <v>45375</v>
      </c>
      <c r="F119" s="35" t="n">
        <v>1134.25</v>
      </c>
      <c r="G119" s="112" t="n">
        <f aca="false">LN(F119/F120)</f>
        <v>-0.000220385675823135</v>
      </c>
      <c r="H119" s="174" t="n">
        <v>53949.2</v>
      </c>
      <c r="I119" s="196" t="n">
        <f aca="false">LN(H119/H120)</f>
        <v>0.00322117077887831</v>
      </c>
    </row>
    <row r="120" s="35" customFormat="true" ht="14.4" hidden="false" customHeight="false" outlineLevel="0" collapsed="false">
      <c r="B120" s="199"/>
      <c r="E120" s="194" t="n">
        <v>45368</v>
      </c>
      <c r="F120" s="35" t="n">
        <v>1134.5</v>
      </c>
      <c r="G120" s="112" t="n">
        <f aca="false">LN(F120/F121)</f>
        <v>0.0151874671948478</v>
      </c>
      <c r="H120" s="174" t="n">
        <v>53775.7</v>
      </c>
      <c r="I120" s="196" t="n">
        <f aca="false">LN(H120/H121)</f>
        <v>-0.0070369224648467</v>
      </c>
    </row>
    <row r="121" s="35" customFormat="true" ht="14.4" hidden="false" customHeight="false" outlineLevel="0" collapsed="false">
      <c r="B121" s="199"/>
      <c r="E121" s="194" t="n">
        <v>45361</v>
      </c>
      <c r="F121" s="35" t="n">
        <v>1117.4</v>
      </c>
      <c r="G121" s="112" t="n">
        <f aca="false">LN(F121/F122)</f>
        <v>-0.0257092652729106</v>
      </c>
      <c r="H121" s="174" t="n">
        <v>54155.45</v>
      </c>
      <c r="I121" s="196" t="n">
        <f aca="false">LN(H121/H122)</f>
        <v>-0.00462134124488312</v>
      </c>
    </row>
    <row r="122" s="35" customFormat="true" ht="14.4" hidden="false" customHeight="false" outlineLevel="0" collapsed="false">
      <c r="B122" s="199"/>
      <c r="E122" s="194" t="n">
        <v>45354</v>
      </c>
      <c r="F122" s="35" t="n">
        <v>1146.5</v>
      </c>
      <c r="G122" s="112" t="n">
        <f aca="false">LN(F122/F123)</f>
        <v>-0.0179367315530872</v>
      </c>
      <c r="H122" s="174" t="n">
        <v>54406.3</v>
      </c>
      <c r="I122" s="196" t="n">
        <f aca="false">LN(H122/H123)</f>
        <v>0.00333513301926138</v>
      </c>
    </row>
    <row r="123" s="35" customFormat="true" ht="14.4" hidden="false" customHeight="false" outlineLevel="0" collapsed="false">
      <c r="B123" s="199"/>
      <c r="E123" s="194" t="n">
        <v>45347</v>
      </c>
      <c r="F123" s="35" t="n">
        <v>1167.25</v>
      </c>
      <c r="G123" s="112" t="n">
        <f aca="false">LN(F123/F124)</f>
        <v>0.00102858621334514</v>
      </c>
      <c r="H123" s="174" t="n">
        <v>54225.15</v>
      </c>
      <c r="I123" s="196" t="n">
        <f aca="false">LN(H123/H124)</f>
        <v>-0.00207437421765165</v>
      </c>
    </row>
    <row r="124" s="35" customFormat="true" ht="14.4" hidden="false" customHeight="false" outlineLevel="0" collapsed="false">
      <c r="B124" s="199"/>
      <c r="E124" s="194" t="n">
        <v>45340</v>
      </c>
      <c r="F124" s="35" t="n">
        <v>1166.05</v>
      </c>
      <c r="G124" s="112" t="n">
        <f aca="false">LN(F124/F125)</f>
        <v>0.0345952622339234</v>
      </c>
      <c r="H124" s="174" t="n">
        <v>54337.75</v>
      </c>
      <c r="I124" s="196" t="n">
        <f aca="false">LN(H124/H125)</f>
        <v>0.0151899401460986</v>
      </c>
    </row>
    <row r="125" s="35" customFormat="true" ht="14.4" hidden="false" customHeight="false" outlineLevel="0" collapsed="false">
      <c r="B125" s="199"/>
      <c r="E125" s="194" t="n">
        <v>45333</v>
      </c>
      <c r="F125" s="35" t="n">
        <v>1126.4</v>
      </c>
      <c r="G125" s="112" t="n">
        <f aca="false">LN(F125/F126)</f>
        <v>0.0133162519995268</v>
      </c>
      <c r="H125" s="174" t="n">
        <v>53518.6</v>
      </c>
      <c r="I125" s="196" t="n">
        <f aca="false">LN(H125/H126)</f>
        <v>-0.00649064490858957</v>
      </c>
    </row>
    <row r="126" s="35" customFormat="true" ht="14.4" hidden="false" customHeight="false" outlineLevel="0" collapsed="false">
      <c r="B126" s="199"/>
      <c r="E126" s="194" t="n">
        <v>45326</v>
      </c>
      <c r="F126" s="35" t="n">
        <v>1111.5</v>
      </c>
      <c r="G126" s="112" t="n">
        <f aca="false">LN(F126/F127)</f>
        <v>0.0231631934545488</v>
      </c>
      <c r="H126" s="174" t="n">
        <v>53867.1</v>
      </c>
      <c r="I126" s="196" t="n">
        <f aca="false">LN(H126/H127)</f>
        <v>-0.022963696766914</v>
      </c>
    </row>
    <row r="127" s="35" customFormat="true" ht="14.4" hidden="false" customHeight="false" outlineLevel="0" collapsed="false">
      <c r="B127" s="199"/>
      <c r="E127" s="194" t="n">
        <v>45319</v>
      </c>
      <c r="F127" s="35" t="n">
        <v>1086.05</v>
      </c>
      <c r="G127" s="112" t="n">
        <f aca="false">LN(F127/F128)</f>
        <v>-0.00911992755825841</v>
      </c>
      <c r="H127" s="174" t="n">
        <v>55118.4</v>
      </c>
      <c r="I127" s="196" t="n">
        <f aca="false">LN(H127/H128)</f>
        <v>-0.00173475673985112</v>
      </c>
    </row>
    <row r="128" s="35" customFormat="true" ht="14.4" hidden="false" customHeight="false" outlineLevel="0" collapsed="false">
      <c r="B128" s="199"/>
      <c r="E128" s="194" t="n">
        <v>45312</v>
      </c>
      <c r="F128" s="35" t="n">
        <v>1096</v>
      </c>
      <c r="G128" s="112" t="n">
        <f aca="false">LN(F128/F129)</f>
        <v>0.0123016331450835</v>
      </c>
      <c r="H128" s="174" t="n">
        <v>55214.1</v>
      </c>
      <c r="I128" s="196" t="n">
        <f aca="false">LN(H128/H129)</f>
        <v>-0.0255059215823677</v>
      </c>
    </row>
    <row r="129" s="35" customFormat="true" ht="14.4" hidden="false" customHeight="false" outlineLevel="0" collapsed="false">
      <c r="B129" s="199"/>
      <c r="E129" s="194" t="n">
        <v>45305</v>
      </c>
      <c r="F129" s="35" t="n">
        <v>1082.6</v>
      </c>
      <c r="G129" s="112" t="n">
        <f aca="false">LN(F129/F130)</f>
        <v>-0.0263448990413739</v>
      </c>
      <c r="H129" s="174" t="n">
        <v>56640.5</v>
      </c>
      <c r="I129" s="196" t="n">
        <f aca="false">LN(H129/H130)</f>
        <v>0.00273588307799525</v>
      </c>
    </row>
    <row r="130" s="35" customFormat="true" ht="14.4" hidden="false" customHeight="false" outlineLevel="0" collapsed="false">
      <c r="B130" s="199"/>
      <c r="E130" s="194" t="n">
        <v>45298</v>
      </c>
      <c r="F130" s="35" t="n">
        <v>1111.5</v>
      </c>
      <c r="G130" s="112" t="n">
        <f aca="false">LN(F130/F131)</f>
        <v>0.00944618445205012</v>
      </c>
      <c r="H130" s="174" t="n">
        <v>56485.75</v>
      </c>
      <c r="I130" s="196" t="n">
        <f aca="false">LN(H130/H131)</f>
        <v>-0.0207027615183235</v>
      </c>
    </row>
    <row r="131" s="35" customFormat="true" ht="14.4" hidden="false" customHeight="false" outlineLevel="0" collapsed="false">
      <c r="B131" s="199"/>
      <c r="E131" s="194" t="n">
        <v>45291</v>
      </c>
      <c r="F131" s="35" t="n">
        <v>1101.05</v>
      </c>
      <c r="G131" s="112" t="n">
        <f aca="false">LN(F131/F132)</f>
        <v>-0.0150534661618889</v>
      </c>
      <c r="H131" s="174" t="n">
        <v>57667.35</v>
      </c>
      <c r="I131" s="196" t="n">
        <f aca="false">LN(H131/H132)</f>
        <v>0.0118644742570906</v>
      </c>
    </row>
    <row r="132" s="35" customFormat="true" ht="14.4" hidden="false" customHeight="false" outlineLevel="0" collapsed="false">
      <c r="B132" s="199"/>
      <c r="E132" s="194" t="n">
        <v>45284</v>
      </c>
      <c r="F132" s="35" t="n">
        <v>1117.75</v>
      </c>
      <c r="G132" s="112" t="n">
        <f aca="false">LN(F132/F133)</f>
        <v>0.0380672743923603</v>
      </c>
      <c r="H132" s="174" t="n">
        <v>56987.2</v>
      </c>
      <c r="I132" s="196" t="n">
        <f aca="false">LN(H132/H133)</f>
        <v>0.0336579089747103</v>
      </c>
    </row>
    <row r="133" s="35" customFormat="true" ht="14.4" hidden="false" customHeight="false" outlineLevel="0" collapsed="false">
      <c r="B133" s="199"/>
      <c r="E133" s="194" t="n">
        <v>45277</v>
      </c>
      <c r="F133" s="35" t="n">
        <v>1076</v>
      </c>
      <c r="G133" s="112" t="n">
        <f aca="false">LN(F133/F134)</f>
        <v>-0.00671531989828909</v>
      </c>
      <c r="H133" s="174" t="n">
        <v>55101.05</v>
      </c>
      <c r="I133" s="196" t="n">
        <f aca="false">LN(H133/H134)</f>
        <v>0.0167425087584459</v>
      </c>
    </row>
    <row r="134" s="35" customFormat="true" ht="14.4" hidden="false" customHeight="false" outlineLevel="0" collapsed="false">
      <c r="B134" s="199"/>
      <c r="E134" s="194" t="n">
        <v>45270</v>
      </c>
      <c r="F134" s="35" t="n">
        <v>1083.25</v>
      </c>
      <c r="G134" s="112" t="n">
        <f aca="false">LN(F134/F135)</f>
        <v>0.0357096903833445</v>
      </c>
      <c r="H134" s="174" t="n">
        <v>54186.2</v>
      </c>
      <c r="I134" s="196" t="n">
        <f aca="false">LN(H134/H135)</f>
        <v>0.0101992536161236</v>
      </c>
    </row>
    <row r="135" s="35" customFormat="true" ht="14.4" hidden="false" customHeight="false" outlineLevel="0" collapsed="false">
      <c r="B135" s="199"/>
      <c r="E135" s="194" t="n">
        <v>45263</v>
      </c>
      <c r="F135" s="35" t="n">
        <v>1045.25</v>
      </c>
      <c r="G135" s="112" t="n">
        <f aca="false">LN(F135/F136)</f>
        <v>-0.008146587538511</v>
      </c>
      <c r="H135" s="174" t="n">
        <v>53636.35</v>
      </c>
      <c r="I135" s="196" t="n">
        <f aca="false">LN(H135/H136)</f>
        <v>-0.00400232002390426</v>
      </c>
    </row>
    <row r="136" s="35" customFormat="true" ht="14.4" hidden="false" customHeight="false" outlineLevel="0" collapsed="false">
      <c r="B136" s="199"/>
      <c r="E136" s="194" t="n">
        <v>45256</v>
      </c>
      <c r="F136" s="35" t="n">
        <v>1053.8</v>
      </c>
      <c r="G136" s="112" t="n">
        <f aca="false">LN(F136/F137)</f>
        <v>0.0107810041022288</v>
      </c>
      <c r="H136" s="174" t="n">
        <v>53851.45</v>
      </c>
      <c r="I136" s="196" t="n">
        <f aca="false">LN(H136/H137)</f>
        <v>0.0239524701029444</v>
      </c>
    </row>
    <row r="137" s="35" customFormat="true" ht="14.4" hidden="false" customHeight="false" outlineLevel="0" collapsed="false">
      <c r="B137" s="199"/>
      <c r="E137" s="194" t="n">
        <v>45249</v>
      </c>
      <c r="F137" s="35" t="n">
        <v>1042.5</v>
      </c>
      <c r="G137" s="112" t="n">
        <f aca="false">LN(F137/F138)</f>
        <v>-0.0132925561865726</v>
      </c>
      <c r="H137" s="174" t="n">
        <v>52576.9</v>
      </c>
      <c r="I137" s="196" t="n">
        <f aca="false">LN(H137/H138)</f>
        <v>-0.00340254569580096</v>
      </c>
    </row>
    <row r="138" s="35" customFormat="true" ht="14.4" hidden="false" customHeight="false" outlineLevel="0" collapsed="false">
      <c r="B138" s="199"/>
      <c r="E138" s="194" t="n">
        <v>45242</v>
      </c>
      <c r="F138" s="35" t="n">
        <v>1056.45</v>
      </c>
      <c r="G138" s="112" t="n">
        <f aca="false">LN(F138/F139)</f>
        <v>0.011519548558203</v>
      </c>
      <c r="H138" s="174" t="n">
        <v>52756.1</v>
      </c>
      <c r="I138" s="196" t="n">
        <f aca="false">LN(H138/H139)</f>
        <v>0.0129742553109582</v>
      </c>
    </row>
    <row r="139" s="35" customFormat="true" ht="14.4" hidden="false" customHeight="false" outlineLevel="0" collapsed="false">
      <c r="B139" s="199"/>
      <c r="E139" s="194" t="n">
        <v>45235</v>
      </c>
      <c r="F139" s="35" t="n">
        <v>1044.35</v>
      </c>
      <c r="G139" s="112" t="n">
        <f aca="false">LN(F139/F140)</f>
        <v>-0.0253848330756368</v>
      </c>
      <c r="H139" s="174" t="n">
        <v>52076.05</v>
      </c>
      <c r="I139" s="196" t="n">
        <f aca="false">LN(H139/H140)</f>
        <v>0.00335745868157699</v>
      </c>
    </row>
    <row r="140" s="35" customFormat="true" ht="14.4" hidden="false" customHeight="false" outlineLevel="0" collapsed="false">
      <c r="B140" s="199"/>
      <c r="E140" s="194" t="n">
        <v>45228</v>
      </c>
      <c r="F140" s="35" t="n">
        <v>1071.2</v>
      </c>
      <c r="G140" s="112" t="n">
        <f aca="false">LN(F140/F141)</f>
        <v>0.047066948489176</v>
      </c>
      <c r="H140" s="174" t="n">
        <v>51901.5</v>
      </c>
      <c r="I140" s="196" t="n">
        <f aca="false">LN(H140/H141)</f>
        <v>0.00980680002341458</v>
      </c>
    </row>
    <row r="141" s="35" customFormat="true" ht="14.4" hidden="false" customHeight="false" outlineLevel="0" collapsed="false">
      <c r="B141" s="199"/>
      <c r="E141" s="194" t="n">
        <v>45221</v>
      </c>
      <c r="F141" s="35" t="n">
        <v>1021.95</v>
      </c>
      <c r="G141" s="112" t="n">
        <f aca="false">LN(F141/F142)</f>
        <v>-0.0176042954713004</v>
      </c>
      <c r="H141" s="174" t="n">
        <v>51395</v>
      </c>
      <c r="I141" s="196" t="n">
        <f aca="false">LN(H141/H142)</f>
        <v>-0.00829992843405704</v>
      </c>
    </row>
    <row r="142" s="35" customFormat="true" ht="14.4" hidden="false" customHeight="false" outlineLevel="0" collapsed="false">
      <c r="B142" s="199"/>
      <c r="E142" s="194" t="n">
        <v>45214</v>
      </c>
      <c r="F142" s="35" t="n">
        <v>1040.1</v>
      </c>
      <c r="G142" s="112" t="n">
        <f aca="false">LN(F142/F143)</f>
        <v>-0.026704933165047</v>
      </c>
      <c r="H142" s="174" t="n">
        <v>51823.35</v>
      </c>
      <c r="I142" s="196" t="n">
        <f aca="false">LN(H142/H143)</f>
        <v>-0.0133665577027351</v>
      </c>
    </row>
    <row r="143" s="35" customFormat="true" ht="14.4" hidden="false" customHeight="false" outlineLevel="0" collapsed="false">
      <c r="B143" s="199"/>
      <c r="E143" s="194" t="n">
        <v>45207</v>
      </c>
      <c r="F143" s="35" t="n">
        <v>1068.25</v>
      </c>
      <c r="G143" s="112" t="n">
        <f aca="false">LN(F143/F144)</f>
        <v>0.0416707046781662</v>
      </c>
      <c r="H143" s="174" t="n">
        <v>52520.7</v>
      </c>
      <c r="I143" s="196" t="n">
        <f aca="false">LN(H143/H144)</f>
        <v>0.0181140914321213</v>
      </c>
    </row>
    <row r="144" s="35" customFormat="true" ht="14.4" hidden="false" customHeight="false" outlineLevel="0" collapsed="false">
      <c r="B144" s="199"/>
      <c r="E144" s="194" t="n">
        <v>45200</v>
      </c>
      <c r="F144" s="35" t="n">
        <v>1024.65</v>
      </c>
      <c r="G144" s="112" t="n">
        <f aca="false">LN(F144/F145)</f>
        <v>0.0171272457745114</v>
      </c>
      <c r="H144" s="174" t="n">
        <v>51577.9</v>
      </c>
      <c r="I144" s="196" t="n">
        <f aca="false">LN(H144/H145)</f>
        <v>-0.000479741588403801</v>
      </c>
    </row>
    <row r="145" s="35" customFormat="true" ht="14.4" hidden="false" customHeight="false" outlineLevel="0" collapsed="false">
      <c r="B145" s="199"/>
      <c r="E145" s="194" t="n">
        <v>45193</v>
      </c>
      <c r="F145" s="35" t="n">
        <v>1007.25</v>
      </c>
      <c r="G145" s="112" t="n">
        <f aca="false">LN(F145/F146)</f>
        <v>-0.0100756519887416</v>
      </c>
      <c r="H145" s="174" t="n">
        <v>51602.65</v>
      </c>
      <c r="I145" s="196" t="n">
        <f aca="false">LN(H145/H146)</f>
        <v>-0.000113359845448201</v>
      </c>
    </row>
    <row r="146" s="35" customFormat="true" ht="14.4" hidden="false" customHeight="false" outlineLevel="0" collapsed="false">
      <c r="B146" s="199"/>
      <c r="E146" s="194" t="n">
        <v>45186</v>
      </c>
      <c r="F146" s="35" t="n">
        <v>1017.45</v>
      </c>
      <c r="G146" s="112" t="n">
        <f aca="false">LN(F146/F147)</f>
        <v>-0.0304901667577873</v>
      </c>
      <c r="H146" s="174" t="n">
        <v>51608.5</v>
      </c>
      <c r="I146" s="196" t="n">
        <f aca="false">LN(H146/H147)</f>
        <v>-0.00553894926154098</v>
      </c>
    </row>
    <row r="147" s="35" customFormat="true" ht="14.4" hidden="false" customHeight="false" outlineLevel="0" collapsed="false">
      <c r="B147" s="199"/>
      <c r="E147" s="194" t="n">
        <v>45179</v>
      </c>
      <c r="F147" s="35" t="n">
        <v>1048.95</v>
      </c>
      <c r="G147" s="112" t="n">
        <f aca="false">LN(F147/F148)</f>
        <v>-0.00594065858511936</v>
      </c>
      <c r="H147" s="174" t="n">
        <v>51895.15</v>
      </c>
      <c r="I147" s="196" t="n">
        <f aca="false">LN(H147/H148)</f>
        <v>0.00225419428947436</v>
      </c>
    </row>
    <row r="148" s="35" customFormat="true" ht="14.4" hidden="false" customHeight="false" outlineLevel="0" collapsed="false">
      <c r="B148" s="199"/>
      <c r="E148" s="194" t="n">
        <v>45172</v>
      </c>
      <c r="F148" s="35" t="n">
        <v>1055.2</v>
      </c>
      <c r="G148" s="112" t="n">
        <f aca="false">LN(F148/F149)</f>
        <v>0.0413571863578265</v>
      </c>
      <c r="H148" s="174" t="n">
        <v>51778.3</v>
      </c>
      <c r="I148" s="196" t="n">
        <f aca="false">LN(H148/H149)</f>
        <v>0.0104409075929889</v>
      </c>
    </row>
    <row r="149" s="35" customFormat="true" ht="14.4" hidden="false" customHeight="false" outlineLevel="0" collapsed="false">
      <c r="B149" s="199"/>
      <c r="E149" s="194" t="n">
        <v>45165</v>
      </c>
      <c r="F149" s="35" t="n">
        <v>1012.45</v>
      </c>
      <c r="G149" s="112" t="n">
        <f aca="false">LN(F149/F150)</f>
        <v>0.00425616796119376</v>
      </c>
      <c r="H149" s="174" t="n">
        <v>51240.5</v>
      </c>
      <c r="I149" s="196" t="n">
        <f aca="false">LN(H149/H150)</f>
        <v>-0.00518360280579652</v>
      </c>
    </row>
    <row r="150" s="35" customFormat="true" ht="14.4" hidden="false" customHeight="false" outlineLevel="0" collapsed="false">
      <c r="B150" s="199"/>
      <c r="E150" s="194" t="n">
        <v>45158</v>
      </c>
      <c r="F150" s="35" t="n">
        <v>1008.15</v>
      </c>
      <c r="G150" s="112" t="n">
        <f aca="false">LN(F150/F151)</f>
        <v>0.0126773508582791</v>
      </c>
      <c r="H150" s="174" t="n">
        <v>51506.8</v>
      </c>
      <c r="I150" s="196" t="n">
        <f aca="false">LN(H150/H151)</f>
        <v>0.000816730491819498</v>
      </c>
    </row>
    <row r="151" s="35" customFormat="true" ht="14.4" hidden="false" customHeight="false" outlineLevel="0" collapsed="false">
      <c r="B151" s="199"/>
      <c r="E151" s="194" t="n">
        <v>45151</v>
      </c>
      <c r="F151" s="35" t="n">
        <v>995.45</v>
      </c>
      <c r="G151" s="112" t="n">
        <f aca="false">LN(F151/F152)</f>
        <v>0.0079171387547811</v>
      </c>
      <c r="H151" s="174" t="n">
        <v>51464.75</v>
      </c>
      <c r="I151" s="196" t="n">
        <f aca="false">LN(H151/H152)</f>
        <v>0.00219906533551964</v>
      </c>
    </row>
    <row r="152" s="35" customFormat="true" ht="14.4" hidden="false" customHeight="false" outlineLevel="0" collapsed="false">
      <c r="B152" s="199"/>
      <c r="E152" s="194" t="n">
        <v>45144</v>
      </c>
      <c r="F152" s="35" t="n">
        <v>987.6</v>
      </c>
      <c r="G152" s="112" t="n">
        <f aca="false">LN(F152/F153)</f>
        <v>-0.0184098901642208</v>
      </c>
      <c r="H152" s="174" t="n">
        <v>51351.7</v>
      </c>
      <c r="I152" s="196" t="n">
        <f aca="false">LN(H152/H153)</f>
        <v>-0.0135192410143755</v>
      </c>
    </row>
    <row r="153" s="35" customFormat="true" ht="14.4" hidden="false" customHeight="false" outlineLevel="0" collapsed="false">
      <c r="B153" s="199"/>
      <c r="E153" s="194" t="n">
        <v>45137</v>
      </c>
      <c r="F153" s="35" t="n">
        <v>1005.95</v>
      </c>
      <c r="G153" s="112" t="n">
        <f aca="false">LN(F153/F154)</f>
        <v>-0.0058479698824231</v>
      </c>
      <c r="H153" s="174" t="n">
        <v>52050.65</v>
      </c>
      <c r="I153" s="196" t="n">
        <f aca="false">LN(H153/H154)</f>
        <v>-0.0173960985392056</v>
      </c>
    </row>
    <row r="154" s="35" customFormat="true" ht="14.4" hidden="false" customHeight="false" outlineLevel="0" collapsed="false">
      <c r="B154" s="199"/>
      <c r="E154" s="194" t="n">
        <v>45130</v>
      </c>
      <c r="F154" s="35" t="n">
        <v>1011.85</v>
      </c>
      <c r="G154" s="112" t="n">
        <f aca="false">LN(F154/F155)</f>
        <v>-0.0265264956190553</v>
      </c>
      <c r="H154" s="174" t="n">
        <v>52964.05</v>
      </c>
      <c r="I154" s="196" t="n">
        <f aca="false">LN(H154/H155)</f>
        <v>-0.0137521328392778</v>
      </c>
    </row>
    <row r="155" s="35" customFormat="true" ht="14.4" hidden="false" customHeight="false" outlineLevel="0" collapsed="false">
      <c r="B155" s="199"/>
      <c r="E155" s="194" t="n">
        <v>45123</v>
      </c>
      <c r="F155" s="35" t="n">
        <v>1039.05</v>
      </c>
      <c r="G155" s="112" t="n">
        <f aca="false">LN(F155/F156)</f>
        <v>0.0950888482535712</v>
      </c>
      <c r="H155" s="174" t="n">
        <v>53697.45</v>
      </c>
      <c r="I155" s="196" t="n">
        <f aca="false">LN(H155/H156)</f>
        <v>0.00454965570515577</v>
      </c>
    </row>
    <row r="156" s="35" customFormat="true" ht="14.4" hidden="false" customHeight="false" outlineLevel="0" collapsed="false">
      <c r="B156" s="199"/>
      <c r="E156" s="194" t="n">
        <v>45116</v>
      </c>
      <c r="F156" s="35" t="n">
        <v>944.8</v>
      </c>
      <c r="G156" s="112" t="n">
        <f aca="false">LN(F156/F157)</f>
        <v>0.0324317864458452</v>
      </c>
      <c r="H156" s="174" t="n">
        <v>53453.7</v>
      </c>
      <c r="I156" s="196" t="n">
        <f aca="false">LN(H156/H157)</f>
        <v>0.00961038411432637</v>
      </c>
    </row>
    <row r="157" s="35" customFormat="true" ht="14.4" hidden="false" customHeight="false" outlineLevel="0" collapsed="false">
      <c r="B157" s="199"/>
      <c r="E157" s="194" t="n">
        <v>45109</v>
      </c>
      <c r="F157" s="35" t="n">
        <v>914.65</v>
      </c>
      <c r="G157" s="112" t="n">
        <f aca="false">LN(F157/F158)</f>
        <v>0.00268221415970718</v>
      </c>
      <c r="H157" s="174" t="n">
        <v>52942.45</v>
      </c>
      <c r="I157" s="196" t="n">
        <f aca="false">LN(H157/H158)</f>
        <v>0.0142235594163462</v>
      </c>
    </row>
    <row r="158" s="35" customFormat="true" ht="14.4" hidden="false" customHeight="false" outlineLevel="0" collapsed="false">
      <c r="B158" s="199"/>
      <c r="E158" s="194" t="n">
        <v>45102</v>
      </c>
      <c r="F158" s="35" t="n">
        <v>912.2</v>
      </c>
      <c r="G158" s="112" t="n">
        <f aca="false">LN(F158/F159)</f>
        <v>0.00615792577085128</v>
      </c>
      <c r="H158" s="174" t="n">
        <v>52194.75</v>
      </c>
      <c r="I158" s="196" t="n">
        <f aca="false">LN(H158/H159)</f>
        <v>0.0176079772541587</v>
      </c>
    </row>
    <row r="159" s="35" customFormat="true" ht="14.4" hidden="false" customHeight="false" outlineLevel="0" collapsed="false">
      <c r="B159" s="199"/>
      <c r="E159" s="194" t="n">
        <v>45095</v>
      </c>
      <c r="F159" s="35" t="n">
        <v>906.6</v>
      </c>
      <c r="G159" s="112" t="n">
        <f aca="false">LN(F159/F160)</f>
        <v>-0.00302872006627803</v>
      </c>
      <c r="H159" s="174" t="n">
        <v>51283.75</v>
      </c>
      <c r="I159" s="196" t="n">
        <f aca="false">LN(H159/H160)</f>
        <v>-0.0222995349069434</v>
      </c>
    </row>
    <row r="160" s="35" customFormat="true" ht="14.4" hidden="false" customHeight="false" outlineLevel="0" collapsed="false">
      <c r="B160" s="199"/>
      <c r="E160" s="194" t="n">
        <v>45088</v>
      </c>
      <c r="F160" s="35" t="n">
        <v>909.35</v>
      </c>
      <c r="G160" s="112" t="n">
        <f aca="false">LN(F160/F161)</f>
        <v>0.0235331157150249</v>
      </c>
      <c r="H160" s="174" t="n">
        <v>52440.2</v>
      </c>
      <c r="I160" s="196" t="n">
        <f aca="false">LN(H160/H161)</f>
        <v>0.034243740476543</v>
      </c>
    </row>
    <row r="161" s="35" customFormat="true" ht="14.4" hidden="false" customHeight="false" outlineLevel="0" collapsed="false">
      <c r="B161" s="199"/>
      <c r="E161" s="194" t="n">
        <v>45081</v>
      </c>
      <c r="F161" s="35" t="n">
        <v>888.2</v>
      </c>
      <c r="G161" s="112" t="n">
        <f aca="false">LN(F161/F162)</f>
        <v>0.0153731365217272</v>
      </c>
      <c r="H161" s="174" t="n">
        <v>50674.85</v>
      </c>
      <c r="I161" s="196" t="n">
        <f aca="false">LN(H161/H162)</f>
        <v>-0.0120397478403027</v>
      </c>
    </row>
    <row r="162" s="35" customFormat="true" ht="14.4" hidden="false" customHeight="false" outlineLevel="0" collapsed="false">
      <c r="B162" s="199"/>
      <c r="E162" s="194" t="n">
        <v>45074</v>
      </c>
      <c r="F162" s="35" t="n">
        <v>874.65</v>
      </c>
      <c r="G162" s="112" t="n">
        <f aca="false">LN(F162/F163)</f>
        <v>0.0184624179064037</v>
      </c>
      <c r="H162" s="174" t="n">
        <v>51288.65</v>
      </c>
      <c r="I162" s="196" t="n">
        <f aca="false">LN(H162/H163)</f>
        <v>0.0177164286444616</v>
      </c>
    </row>
    <row r="163" s="35" customFormat="true" ht="14.4" hidden="false" customHeight="false" outlineLevel="0" collapsed="false">
      <c r="B163" s="199"/>
      <c r="E163" s="194" t="n">
        <v>45067</v>
      </c>
      <c r="F163" s="35" t="n">
        <v>858.65</v>
      </c>
      <c r="G163" s="112" t="n">
        <f aca="false">LN(F163/F164)</f>
        <v>0.0496610959320778</v>
      </c>
      <c r="H163" s="174" t="n">
        <v>50388</v>
      </c>
      <c r="I163" s="196" t="n">
        <f aca="false">LN(H163/H164)</f>
        <v>0.0305023785708087</v>
      </c>
    </row>
    <row r="164" s="35" customFormat="true" ht="14.4" hidden="false" customHeight="false" outlineLevel="0" collapsed="false">
      <c r="B164" s="199"/>
      <c r="E164" s="194" t="n">
        <v>45060</v>
      </c>
      <c r="F164" s="35" t="n">
        <v>817.05</v>
      </c>
      <c r="G164" s="112" t="n">
        <f aca="false">LN(F164/F165)</f>
        <v>0.0266665931439277</v>
      </c>
      <c r="H164" s="174" t="n">
        <v>48874.25</v>
      </c>
      <c r="I164" s="196" t="n">
        <f aca="false">LN(H164/H165)</f>
        <v>-0.0015640176967894</v>
      </c>
    </row>
    <row r="165" s="35" customFormat="true" ht="14.4" hidden="false" customHeight="false" outlineLevel="0" collapsed="false">
      <c r="B165" s="199"/>
      <c r="E165" s="194" t="n">
        <v>45053</v>
      </c>
      <c r="F165" s="35" t="n">
        <v>795.55</v>
      </c>
      <c r="G165" s="112" t="n">
        <f aca="false">LN(F165/F166)</f>
        <v>0.010741920553035</v>
      </c>
      <c r="H165" s="174" t="n">
        <v>48950.75</v>
      </c>
      <c r="I165" s="196" t="n">
        <f aca="false">LN(H165/H166)</f>
        <v>0.0157430552491346</v>
      </c>
    </row>
    <row r="166" s="35" customFormat="true" ht="14.4" hidden="false" customHeight="false" outlineLevel="0" collapsed="false">
      <c r="B166" s="199"/>
      <c r="E166" s="194" t="n">
        <v>45046</v>
      </c>
      <c r="F166" s="35" t="n">
        <v>787.05</v>
      </c>
      <c r="G166" s="112" t="n">
        <f aca="false">LN(F166/F167)</f>
        <v>0.0126583968719235</v>
      </c>
      <c r="H166" s="174" t="n">
        <v>48186.15</v>
      </c>
      <c r="I166" s="196" t="n">
        <f aca="false">LN(H166/H167)</f>
        <v>0.00775106028776951</v>
      </c>
    </row>
    <row r="167" s="35" customFormat="true" ht="14.4" hidden="false" customHeight="false" outlineLevel="0" collapsed="false">
      <c r="B167" s="199"/>
      <c r="E167" s="194" t="n">
        <v>45039</v>
      </c>
      <c r="F167" s="35" t="n">
        <v>777.15</v>
      </c>
      <c r="G167" s="112" t="n">
        <f aca="false">LN(F167/F168)</f>
        <v>0.0223807402864366</v>
      </c>
      <c r="H167" s="174" t="n">
        <v>47814.1</v>
      </c>
      <c r="I167" s="196" t="n">
        <f aca="false">LN(H167/H168)</f>
        <v>0.0242254432503472</v>
      </c>
    </row>
    <row r="168" s="35" customFormat="true" ht="14.4" hidden="false" customHeight="false" outlineLevel="0" collapsed="false">
      <c r="B168" s="199"/>
      <c r="E168" s="194" t="n">
        <v>45032</v>
      </c>
      <c r="F168" s="35" t="n">
        <v>759.95</v>
      </c>
      <c r="G168" s="112" t="n">
        <f aca="false">LN(F168/F169)</f>
        <v>-0.00275952868938831</v>
      </c>
      <c r="H168" s="174" t="n">
        <v>46669.7</v>
      </c>
      <c r="I168" s="196" t="n">
        <f aca="false">LN(H168/H169)</f>
        <v>0.00985670917865041</v>
      </c>
    </row>
    <row r="169" s="35" customFormat="true" ht="14.4" hidden="false" customHeight="false" outlineLevel="0" collapsed="false">
      <c r="B169" s="199"/>
      <c r="E169" s="194" t="n">
        <v>45025</v>
      </c>
      <c r="F169" s="35" t="n">
        <v>762.05</v>
      </c>
      <c r="G169" s="112" t="n">
        <f aca="false">LN(F169/F170)</f>
        <v>0.00737573314101444</v>
      </c>
      <c r="H169" s="174" t="n">
        <v>46211.95</v>
      </c>
      <c r="I169" s="196" t="n">
        <f aca="false">LN(H169/H170)</f>
        <v>0.00222701078056996</v>
      </c>
    </row>
    <row r="170" s="35" customFormat="true" ht="14.4" hidden="false" customHeight="false" outlineLevel="0" collapsed="false">
      <c r="B170" s="199"/>
      <c r="E170" s="194" t="n">
        <v>45018</v>
      </c>
      <c r="F170" s="35" t="n">
        <v>756.45</v>
      </c>
      <c r="G170" s="112" t="n">
        <f aca="false">LN(F170/F171)</f>
        <v>0.000198314328860203</v>
      </c>
      <c r="H170" s="174" t="n">
        <v>46109.15</v>
      </c>
      <c r="I170" s="196" t="n">
        <f aca="false">LN(H170/H171)</f>
        <v>0.00443954668821287</v>
      </c>
    </row>
    <row r="171" s="35" customFormat="true" ht="14.4" hidden="false" customHeight="false" outlineLevel="0" collapsed="false">
      <c r="B171" s="199"/>
      <c r="E171" s="194" t="n">
        <v>45011</v>
      </c>
      <c r="F171" s="35" t="n">
        <v>756.3</v>
      </c>
      <c r="G171" s="112" t="n">
        <f aca="false">LN(F171/F172)</f>
        <v>-0.00980238762382127</v>
      </c>
      <c r="H171" s="174" t="n">
        <v>45904.9</v>
      </c>
      <c r="I171" s="196" t="n">
        <f aca="false">LN(H171/H172)</f>
        <v>0.0185769301772545</v>
      </c>
    </row>
    <row r="172" s="35" customFormat="true" ht="14.4" hidden="false" customHeight="false" outlineLevel="0" collapsed="false">
      <c r="B172" s="199"/>
      <c r="E172" s="194" t="n">
        <v>45004</v>
      </c>
      <c r="F172" s="35" t="n">
        <v>763.75</v>
      </c>
      <c r="G172" s="112" t="n">
        <f aca="false">LN(F172/F173)</f>
        <v>-0.00899380410692365</v>
      </c>
      <c r="H172" s="174" t="n">
        <v>45060</v>
      </c>
      <c r="I172" s="196" t="n">
        <f aca="false">LN(H172/H173)</f>
        <v>0.00448630230553003</v>
      </c>
    </row>
    <row r="173" s="35" customFormat="true" ht="14.4" hidden="false" customHeight="false" outlineLevel="0" collapsed="false">
      <c r="B173" s="199"/>
      <c r="E173" s="194" t="n">
        <v>44997</v>
      </c>
      <c r="F173" s="35" t="n">
        <v>770.65</v>
      </c>
      <c r="G173" s="112" t="n">
        <f aca="false">LN(F173/F174)</f>
        <v>0.0313699528364273</v>
      </c>
      <c r="H173" s="174" t="n">
        <v>44858.3</v>
      </c>
      <c r="I173" s="196" t="n">
        <f aca="false">LN(H173/H174)</f>
        <v>-0.0105652138811028</v>
      </c>
    </row>
    <row r="174" s="35" customFormat="true" ht="14.4" hidden="false" customHeight="false" outlineLevel="0" collapsed="false">
      <c r="B174" s="199"/>
      <c r="E174" s="194" t="n">
        <v>44990</v>
      </c>
      <c r="F174" s="35" t="n">
        <v>746.85</v>
      </c>
      <c r="G174" s="112" t="n">
        <f aca="false">LN(F174/F175)</f>
        <v>-0.0121770144232315</v>
      </c>
      <c r="H174" s="174" t="n">
        <v>45334.75</v>
      </c>
      <c r="I174" s="196" t="n">
        <f aca="false">LN(H174/H175)</f>
        <v>-0.00165849853018851</v>
      </c>
    </row>
    <row r="175" s="35" customFormat="true" ht="14.4" hidden="false" customHeight="false" outlineLevel="0" collapsed="false">
      <c r="B175" s="199"/>
      <c r="E175" s="194" t="n">
        <v>44983</v>
      </c>
      <c r="F175" s="35" t="n">
        <v>756</v>
      </c>
      <c r="G175" s="112" t="n">
        <f aca="false">LN(F175/F176)</f>
        <v>0.0168071183163812</v>
      </c>
      <c r="H175" s="174" t="n">
        <v>45410</v>
      </c>
      <c r="I175" s="196" t="n">
        <f aca="false">LN(H175/H176)</f>
        <v>0.000826150461441096</v>
      </c>
    </row>
    <row r="176" s="35" customFormat="true" ht="14.4" hidden="false" customHeight="false" outlineLevel="0" collapsed="false">
      <c r="B176" s="199"/>
      <c r="E176" s="194" t="n">
        <v>44976</v>
      </c>
      <c r="F176" s="35" t="n">
        <v>743.4</v>
      </c>
      <c r="G176" s="112" t="n">
        <f aca="false">LN(F176/F177)</f>
        <v>-0.0374911912403666</v>
      </c>
      <c r="H176" s="174" t="n">
        <v>45372.5</v>
      </c>
      <c r="I176" s="196" t="n">
        <f aca="false">LN(H176/H177)</f>
        <v>-0.00538083588817591</v>
      </c>
    </row>
    <row r="177" s="35" customFormat="true" ht="14.4" hidden="false" customHeight="false" outlineLevel="0" collapsed="false">
      <c r="B177" s="199"/>
      <c r="E177" s="194" t="n">
        <v>44969</v>
      </c>
      <c r="F177" s="35" t="n">
        <v>771.8</v>
      </c>
      <c r="G177" s="112" t="n">
        <f aca="false">LN(F177/F178)</f>
        <v>-0.01063257108974</v>
      </c>
      <c r="H177" s="174" t="n">
        <v>45617.3</v>
      </c>
      <c r="I177" s="196" t="n">
        <f aca="false">LN(H177/H178)</f>
        <v>0.00283627724837615</v>
      </c>
    </row>
    <row r="178" s="35" customFormat="true" ht="14.4" hidden="false" customHeight="false" outlineLevel="0" collapsed="false">
      <c r="B178" s="199"/>
      <c r="E178" s="194" t="n">
        <v>44962</v>
      </c>
      <c r="F178" s="35" t="n">
        <v>780.05</v>
      </c>
      <c r="G178" s="112" t="n">
        <f aca="false">LN(F178/F179)</f>
        <v>0.0144621282315564</v>
      </c>
      <c r="H178" s="174" t="n">
        <v>45488.1</v>
      </c>
      <c r="I178" s="196" t="n">
        <f aca="false">LN(H178/H179)</f>
        <v>-0.0119990120349073</v>
      </c>
    </row>
    <row r="179" s="35" customFormat="true" ht="14.4" hidden="false" customHeight="false" outlineLevel="0" collapsed="false">
      <c r="B179" s="199"/>
      <c r="E179" s="194" t="n">
        <v>44955</v>
      </c>
      <c r="F179" s="35" t="n">
        <v>768.85</v>
      </c>
      <c r="G179" s="112" t="n">
        <f aca="false">LN(F179/F180)</f>
        <v>0.0022135425704872</v>
      </c>
      <c r="H179" s="174" t="n">
        <v>46037.2</v>
      </c>
      <c r="I179" s="196" t="n">
        <f aca="false">LN(H179/H180)</f>
        <v>0.0342606211599332</v>
      </c>
    </row>
    <row r="180" s="35" customFormat="true" ht="14.4" hidden="false" customHeight="false" outlineLevel="0" collapsed="false">
      <c r="B180" s="199"/>
      <c r="E180" s="194" t="n">
        <v>44948</v>
      </c>
      <c r="F180" s="35" t="n">
        <v>767.15</v>
      </c>
      <c r="G180" s="112" t="n">
        <f aca="false">LN(F180/F181)</f>
        <v>-0.0689972165643048</v>
      </c>
      <c r="H180" s="174" t="n">
        <v>44486.65</v>
      </c>
      <c r="I180" s="196" t="n">
        <f aca="false">LN(H180/H181)</f>
        <v>0.01328393574089</v>
      </c>
    </row>
    <row r="181" s="35" customFormat="true" ht="14.4" hidden="false" customHeight="false" outlineLevel="0" collapsed="false">
      <c r="B181" s="199"/>
      <c r="E181" s="194" t="n">
        <v>44941</v>
      </c>
      <c r="F181" s="35" t="n">
        <v>821.95</v>
      </c>
      <c r="G181" s="112" t="n">
        <f aca="false">LN(F181/F182)</f>
        <v>-0.0288397936507038</v>
      </c>
      <c r="H181" s="174" t="n">
        <v>43899.6</v>
      </c>
      <c r="I181" s="196" t="n">
        <f aca="false">LN(H181/H182)</f>
        <v>-0.0012748251118697</v>
      </c>
    </row>
    <row r="182" s="35" customFormat="true" ht="14.4" hidden="false" customHeight="false" outlineLevel="0" collapsed="false">
      <c r="B182" s="199"/>
      <c r="E182" s="194" t="n">
        <v>44934</v>
      </c>
      <c r="F182" s="35" t="n">
        <v>846</v>
      </c>
      <c r="G182" s="112" t="n">
        <f aca="false">LN(F182/F183)</f>
        <v>-0.0123349581579513</v>
      </c>
      <c r="H182" s="174" t="n">
        <v>43955.6</v>
      </c>
      <c r="I182" s="196" t="n">
        <f aca="false">LN(H182/H183)</f>
        <v>-0.0103488084461484</v>
      </c>
    </row>
    <row r="183" s="35" customFormat="true" ht="14.4" hidden="false" customHeight="false" outlineLevel="0" collapsed="false">
      <c r="B183" s="199"/>
      <c r="E183" s="194" t="n">
        <v>44927</v>
      </c>
      <c r="F183" s="35" t="n">
        <v>856.5</v>
      </c>
      <c r="G183" s="112" t="n">
        <f aca="false">LN(F183/F184)</f>
        <v>-0.0242796160095245</v>
      </c>
      <c r="H183" s="174" t="n">
        <v>44412.85</v>
      </c>
      <c r="I183" s="196" t="n">
        <f aca="false">LN(H183/H184)</f>
        <v>0.00545018919958693</v>
      </c>
    </row>
    <row r="184" s="35" customFormat="true" ht="14.4" hidden="false" customHeight="false" outlineLevel="0" collapsed="false">
      <c r="B184" s="199"/>
      <c r="E184" s="194" t="n">
        <v>44920</v>
      </c>
      <c r="F184" s="35" t="n">
        <v>877.55</v>
      </c>
      <c r="G184" s="112" t="n">
        <f aca="false">LN(F184/F185)</f>
        <v>0.00376755783021391</v>
      </c>
      <c r="H184" s="174" t="n">
        <v>44171.45</v>
      </c>
      <c r="I184" s="196" t="n">
        <f aca="false">LN(H184/H185)</f>
        <v>-0.00324231083481492</v>
      </c>
    </row>
    <row r="185" s="35" customFormat="true" ht="14.4" hidden="false" customHeight="false" outlineLevel="0" collapsed="false">
      <c r="B185" s="199"/>
      <c r="E185" s="194" t="n">
        <v>44913</v>
      </c>
      <c r="F185" s="35" t="n">
        <v>874.25</v>
      </c>
      <c r="G185" s="112" t="n">
        <f aca="false">LN(F185/F186)</f>
        <v>-0.033020408650363</v>
      </c>
      <c r="H185" s="174" t="n">
        <v>44314.9</v>
      </c>
      <c r="I185" s="196" t="n">
        <f aca="false">LN(H185/H186)</f>
        <v>-0.0224440213923197</v>
      </c>
    </row>
    <row r="186" s="35" customFormat="true" ht="14.4" hidden="false" customHeight="false" outlineLevel="0" collapsed="false">
      <c r="B186" s="199"/>
      <c r="E186" s="194" t="n">
        <v>44906</v>
      </c>
      <c r="F186" s="35" t="n">
        <v>903.6</v>
      </c>
      <c r="G186" s="112" t="n">
        <f aca="false">LN(F186/F187)</f>
        <v>-0.0373631644123765</v>
      </c>
      <c r="H186" s="174" t="n">
        <v>45320.75</v>
      </c>
      <c r="I186" s="196" t="n">
        <f aca="false">LN(H186/H187)</f>
        <v>-0.0183378052442291</v>
      </c>
    </row>
    <row r="187" s="35" customFormat="true" ht="14.4" hidden="false" customHeight="false" outlineLevel="0" collapsed="false">
      <c r="B187" s="199"/>
      <c r="E187" s="194" t="n">
        <v>44899</v>
      </c>
      <c r="F187" s="35" t="n">
        <v>938</v>
      </c>
      <c r="G187" s="112" t="n">
        <f aca="false">LN(F187/F188)</f>
        <v>0.00224131584301392</v>
      </c>
      <c r="H187" s="174" t="n">
        <v>46159.5</v>
      </c>
      <c r="I187" s="196" t="n">
        <f aca="false">LN(H187/H188)</f>
        <v>0.0220194914596837</v>
      </c>
    </row>
    <row r="188" s="35" customFormat="true" ht="14.4" hidden="false" customHeight="false" outlineLevel="0" collapsed="false">
      <c r="B188" s="199"/>
      <c r="E188" s="194" t="n">
        <v>44892</v>
      </c>
      <c r="F188" s="35" t="n">
        <v>935.9</v>
      </c>
      <c r="G188" s="112" t="n">
        <f aca="false">LN(F188/F189)</f>
        <v>0.0510177743417244</v>
      </c>
      <c r="H188" s="174" t="n">
        <v>45154.2</v>
      </c>
      <c r="I188" s="196" t="n">
        <f aca="false">LN(H188/H189)</f>
        <v>0.0235645611614042</v>
      </c>
    </row>
    <row r="189" s="35" customFormat="true" ht="14.4" hidden="false" customHeight="false" outlineLevel="0" collapsed="false">
      <c r="B189" s="199"/>
      <c r="E189" s="194" t="n">
        <v>44885</v>
      </c>
      <c r="F189" s="35" t="n">
        <v>889.35</v>
      </c>
      <c r="G189" s="112" t="n">
        <f aca="false">LN(F189/F190)</f>
        <v>0.0173532765642937</v>
      </c>
      <c r="H189" s="174" t="n">
        <v>44102.6</v>
      </c>
      <c r="I189" s="196" t="n">
        <f aca="false">LN(H189/H190)</f>
        <v>0.00809569860708525</v>
      </c>
    </row>
    <row r="190" s="35" customFormat="true" ht="14.4" hidden="false" customHeight="false" outlineLevel="0" collapsed="false">
      <c r="B190" s="199"/>
      <c r="E190" s="194" t="n">
        <v>44878</v>
      </c>
      <c r="F190" s="35" t="n">
        <v>874.05</v>
      </c>
      <c r="G190" s="112" t="n">
        <f aca="false">LN(F190/F191)</f>
        <v>-0.0123370620161117</v>
      </c>
      <c r="H190" s="174" t="n">
        <v>43747</v>
      </c>
      <c r="I190" s="196" t="n">
        <f aca="false">LN(H190/H191)</f>
        <v>-0.0175267182278111</v>
      </c>
    </row>
    <row r="191" s="35" customFormat="true" ht="14.4" hidden="false" customHeight="false" outlineLevel="0" collapsed="false">
      <c r="B191" s="199"/>
      <c r="E191" s="194" t="n">
        <v>44871</v>
      </c>
      <c r="F191" s="35" t="n">
        <v>884.9</v>
      </c>
      <c r="G191" s="112" t="n">
        <f aca="false">LN(F191/F192)</f>
        <v>0.000508661383787844</v>
      </c>
      <c r="H191" s="174" t="n">
        <v>44520.5</v>
      </c>
      <c r="I191" s="196" t="n">
        <f aca="false">LN(H191/H192)</f>
        <v>0.000245984362700196</v>
      </c>
    </row>
    <row r="192" s="35" customFormat="true" ht="14.4" hidden="false" customHeight="false" outlineLevel="0" collapsed="false">
      <c r="B192" s="199"/>
      <c r="E192" s="194" t="n">
        <v>44864</v>
      </c>
      <c r="F192" s="35" t="n">
        <v>884.45</v>
      </c>
      <c r="G192" s="112" t="n">
        <f aca="false">LN(F192/F193)</f>
        <v>0.0127440992025752</v>
      </c>
      <c r="H192" s="174" t="n">
        <v>44509.55</v>
      </c>
      <c r="I192" s="196" t="n">
        <f aca="false">LN(H192/H193)</f>
        <v>0.0127854012277841</v>
      </c>
    </row>
    <row r="193" s="35" customFormat="true" ht="14.4" hidden="false" customHeight="false" outlineLevel="0" collapsed="false">
      <c r="B193" s="199"/>
      <c r="E193" s="194" t="n">
        <v>44857</v>
      </c>
      <c r="F193" s="35" t="n">
        <v>873.25</v>
      </c>
      <c r="G193" s="112" t="n">
        <f aca="false">LN(F193/F194)</f>
        <v>0.0621861036788557</v>
      </c>
      <c r="H193" s="174" t="n">
        <v>43944.1</v>
      </c>
      <c r="I193" s="196" t="n">
        <f aca="false">LN(H193/H194)</f>
        <v>-0.00737080399112364</v>
      </c>
    </row>
    <row r="194" s="35" customFormat="true" ht="14.4" hidden="false" customHeight="false" outlineLevel="0" collapsed="false">
      <c r="B194" s="199"/>
      <c r="E194" s="194" t="n">
        <v>44850</v>
      </c>
      <c r="F194" s="35" t="n">
        <v>820.6</v>
      </c>
      <c r="G194" s="112" t="n">
        <f aca="false">LN(F194/F195)</f>
        <v>-0.0035277696096093</v>
      </c>
      <c r="H194" s="174" t="n">
        <v>44269.2</v>
      </c>
      <c r="I194" s="196" t="n">
        <f aca="false">LN(H194/H195)</f>
        <v>0.0255360769592643</v>
      </c>
    </row>
    <row r="195" s="35" customFormat="true" ht="14.4" hidden="false" customHeight="false" outlineLevel="0" collapsed="false">
      <c r="B195" s="199"/>
      <c r="E195" s="194" t="n">
        <v>44843</v>
      </c>
      <c r="F195" s="35" t="n">
        <v>823.5</v>
      </c>
      <c r="G195" s="112" t="n">
        <f aca="false">LN(F195/F196)</f>
        <v>-0.0600315676775053</v>
      </c>
      <c r="H195" s="174" t="n">
        <v>43153.05</v>
      </c>
      <c r="I195" s="196" t="n">
        <f aca="false">LN(H195/H196)</f>
        <v>-0.0151843255640951</v>
      </c>
    </row>
    <row r="196" s="35" customFormat="true" ht="14.4" hidden="false" customHeight="false" outlineLevel="0" collapsed="false">
      <c r="B196" s="199"/>
      <c r="E196" s="194" t="n">
        <v>44836</v>
      </c>
      <c r="F196" s="35" t="n">
        <v>874.45</v>
      </c>
      <c r="G196" s="112" t="n">
        <f aca="false">LN(F196/F197)</f>
        <v>0.0374588719738824</v>
      </c>
      <c r="H196" s="174" t="n">
        <v>43813.3</v>
      </c>
      <c r="I196" s="196" t="n">
        <f aca="false">LN(H196/H197)</f>
        <v>-0.0134292893373452</v>
      </c>
    </row>
    <row r="197" s="35" customFormat="true" ht="14.4" hidden="false" customHeight="false" outlineLevel="0" collapsed="false">
      <c r="B197" s="199"/>
      <c r="E197" s="194" t="n">
        <v>44829</v>
      </c>
      <c r="F197" s="35" t="n">
        <v>842.3</v>
      </c>
      <c r="G197" s="112" t="n">
        <f aca="false">LN(F197/F198)</f>
        <v>-0.0338501039159232</v>
      </c>
      <c r="H197" s="174" t="n">
        <v>44405.65</v>
      </c>
      <c r="I197" s="196" t="n">
        <f aca="false">LN(H197/H198)</f>
        <v>-0.010060548465732</v>
      </c>
    </row>
    <row r="198" s="35" customFormat="true" ht="14.4" hidden="false" customHeight="false" outlineLevel="0" collapsed="false">
      <c r="B198" s="199"/>
      <c r="E198" s="194" t="n">
        <v>44822</v>
      </c>
      <c r="F198" s="35" t="n">
        <v>871.3</v>
      </c>
      <c r="G198" s="112" t="n">
        <f aca="false">LN(F198/F199)</f>
        <v>0.0388489241323806</v>
      </c>
      <c r="H198" s="174" t="n">
        <v>44854.65</v>
      </c>
      <c r="I198" s="196" t="n">
        <f aca="false">LN(H198/H199)</f>
        <v>0.0377569201743691</v>
      </c>
    </row>
    <row r="199" s="35" customFormat="true" ht="14.4" hidden="false" customHeight="false" outlineLevel="0" collapsed="false">
      <c r="B199" s="199"/>
      <c r="E199" s="194" t="n">
        <v>44815</v>
      </c>
      <c r="F199" s="35" t="n">
        <v>838.1</v>
      </c>
      <c r="G199" s="112" t="n">
        <f aca="false">LN(F199/F200)</f>
        <v>0.0363897402490428</v>
      </c>
      <c r="H199" s="174" t="n">
        <v>43192.65</v>
      </c>
      <c r="I199" s="196" t="n">
        <f aca="false">LN(H199/H200)</f>
        <v>-0.0148238358739395</v>
      </c>
    </row>
    <row r="200" s="35" customFormat="true" ht="14.4" hidden="false" customHeight="false" outlineLevel="0" collapsed="false">
      <c r="B200" s="199"/>
      <c r="E200" s="194" t="n">
        <v>44808</v>
      </c>
      <c r="F200" s="35" t="n">
        <v>808.15</v>
      </c>
      <c r="G200" s="112" t="n">
        <f aca="false">LN(F200/F201)</f>
        <v>-0.0197868564633642</v>
      </c>
      <c r="H200" s="174" t="n">
        <v>43837.7</v>
      </c>
      <c r="I200" s="196" t="n">
        <f aca="false">LN(H200/H201)</f>
        <v>0.00391181498610498</v>
      </c>
    </row>
    <row r="201" s="35" customFormat="true" ht="14.4" hidden="false" customHeight="false" outlineLevel="0" collapsed="false">
      <c r="B201" s="199"/>
      <c r="E201" s="194" t="n">
        <v>44801</v>
      </c>
      <c r="F201" s="35" t="n">
        <v>824.3</v>
      </c>
      <c r="G201" s="112" t="n">
        <f aca="false">LN(F201/F202)</f>
        <v>0.0166981463231037</v>
      </c>
      <c r="H201" s="174" t="n">
        <v>43666.55</v>
      </c>
      <c r="I201" s="196" t="n">
        <f aca="false">LN(H201/H202)</f>
        <v>0.0207699907544514</v>
      </c>
    </row>
    <row r="202" s="35" customFormat="true" ht="14.4" hidden="false" customHeight="false" outlineLevel="0" collapsed="false">
      <c r="B202" s="199"/>
      <c r="E202" s="194" t="n">
        <v>44794</v>
      </c>
      <c r="F202" s="35" t="n">
        <v>810.65</v>
      </c>
      <c r="G202" s="112" t="n">
        <f aca="false">LN(F202/F203)</f>
        <v>0.0232750031816523</v>
      </c>
      <c r="H202" s="174" t="n">
        <v>42768.95</v>
      </c>
      <c r="I202" s="196" t="n">
        <f aca="false">LN(H202/H203)</f>
        <v>-0.00411600512493144</v>
      </c>
    </row>
    <row r="203" s="35" customFormat="true" ht="14.4" hidden="false" customHeight="false" outlineLevel="0" collapsed="false">
      <c r="B203" s="199"/>
      <c r="E203" s="194" t="n">
        <v>44787</v>
      </c>
      <c r="F203" s="35" t="n">
        <v>792</v>
      </c>
      <c r="G203" s="112" t="n">
        <f aca="false">LN(F203/F204)</f>
        <v>0.00474609338925576</v>
      </c>
      <c r="H203" s="174" t="n">
        <v>42945.35</v>
      </c>
      <c r="I203" s="196" t="n">
        <f aca="false">LN(H203/H204)</f>
        <v>0.0114295121514806</v>
      </c>
    </row>
    <row r="204" s="35" customFormat="true" ht="14.4" hidden="false" customHeight="false" outlineLevel="0" collapsed="false">
      <c r="B204" s="199"/>
      <c r="E204" s="194" t="n">
        <v>44780</v>
      </c>
      <c r="F204" s="35" t="n">
        <v>788.25</v>
      </c>
      <c r="G204" s="112" t="n">
        <f aca="false">LN(F204/F205)</f>
        <v>0.00222257592683763</v>
      </c>
      <c r="H204" s="174" t="n">
        <v>42457.3</v>
      </c>
      <c r="I204" s="196" t="n">
        <f aca="false">LN(H204/H205)</f>
        <v>-0.0110929813845602</v>
      </c>
    </row>
    <row r="205" s="35" customFormat="true" ht="14.4" hidden="false" customHeight="false" outlineLevel="0" collapsed="false">
      <c r="B205" s="199"/>
      <c r="E205" s="194" t="n">
        <v>44773</v>
      </c>
      <c r="F205" s="35" t="n">
        <v>786.5</v>
      </c>
      <c r="G205" s="112" t="n">
        <f aca="false">LN(F205/F206)</f>
        <v>0.00958167662758433</v>
      </c>
      <c r="H205" s="174" t="n">
        <v>42930.9</v>
      </c>
      <c r="I205" s="196" t="n">
        <f aca="false">LN(H205/H206)</f>
        <v>0.0103842849912641</v>
      </c>
    </row>
    <row r="206" s="35" customFormat="true" ht="14.4" hidden="false" customHeight="false" outlineLevel="0" collapsed="false">
      <c r="B206" s="199"/>
      <c r="E206" s="194" t="n">
        <v>44766</v>
      </c>
      <c r="F206" s="35" t="n">
        <v>779</v>
      </c>
      <c r="G206" s="112" t="n">
        <f aca="false">LN(F206/F207)</f>
        <v>-0.0800822052641886</v>
      </c>
      <c r="H206" s="174" t="n">
        <v>42487.4</v>
      </c>
      <c r="I206" s="196" t="n">
        <f aca="false">LN(H206/H207)</f>
        <v>-0.000361218333345802</v>
      </c>
    </row>
    <row r="207" s="35" customFormat="true" ht="14.4" hidden="false" customHeight="false" outlineLevel="0" collapsed="false">
      <c r="B207" s="199"/>
      <c r="E207" s="194" t="n">
        <v>44759</v>
      </c>
      <c r="F207" s="35" t="n">
        <v>843.95</v>
      </c>
      <c r="G207" s="112" t="n">
        <f aca="false">LN(F207/F208)</f>
        <v>0.0239834026781976</v>
      </c>
      <c r="H207" s="174" t="n">
        <v>42502.75</v>
      </c>
      <c r="I207" s="196" t="n">
        <f aca="false">LN(H207/H208)</f>
        <v>0.0239042685634525</v>
      </c>
    </row>
    <row r="208" s="35" customFormat="true" ht="14.4" hidden="false" customHeight="false" outlineLevel="0" collapsed="false">
      <c r="B208" s="199"/>
      <c r="E208" s="194" t="n">
        <v>44752</v>
      </c>
      <c r="F208" s="35" t="n">
        <v>823.95</v>
      </c>
      <c r="G208" s="112" t="n">
        <f aca="false">LN(F208/F209)</f>
        <v>0.0120880592792157</v>
      </c>
      <c r="H208" s="174" t="n">
        <v>41498.8</v>
      </c>
      <c r="I208" s="196" t="n">
        <f aca="false">LN(H208/H209)</f>
        <v>0.013917279181904</v>
      </c>
    </row>
    <row r="209" s="35" customFormat="true" ht="14.4" hidden="false" customHeight="false" outlineLevel="0" collapsed="false">
      <c r="B209" s="199"/>
      <c r="E209" s="194" t="n">
        <v>44745</v>
      </c>
      <c r="F209" s="35" t="n">
        <v>814.05</v>
      </c>
      <c r="G209" s="112" t="n">
        <f aca="false">LN(F209/F210)</f>
        <v>0.0315089858890979</v>
      </c>
      <c r="H209" s="174" t="n">
        <v>40925.25</v>
      </c>
      <c r="I209" s="196" t="n">
        <f aca="false">LN(H209/H210)</f>
        <v>0.0552398962670575</v>
      </c>
    </row>
    <row r="210" s="35" customFormat="true" ht="14.4" hidden="false" customHeight="false" outlineLevel="0" collapsed="false">
      <c r="B210" s="199"/>
      <c r="E210" s="194" t="n">
        <v>44738</v>
      </c>
      <c r="F210" s="35" t="n">
        <v>788.8</v>
      </c>
      <c r="G210" s="112" t="n">
        <f aca="false">LN(F210/F211)</f>
        <v>0.0354196300016842</v>
      </c>
      <c r="H210" s="174" t="n">
        <v>38725.85</v>
      </c>
      <c r="I210" s="196" t="n">
        <f aca="false">LN(H210/H211)</f>
        <v>0.0247579134828172</v>
      </c>
    </row>
    <row r="211" s="35" customFormat="true" ht="14.4" hidden="false" customHeight="false" outlineLevel="0" collapsed="false">
      <c r="B211" s="199"/>
      <c r="E211" s="194" t="n">
        <v>44731</v>
      </c>
      <c r="F211" s="35" t="n">
        <v>761.35</v>
      </c>
      <c r="G211" s="112" t="n">
        <f aca="false">LN(F211/F212)</f>
        <v>0.0389711875788986</v>
      </c>
      <c r="H211" s="174" t="n">
        <v>37778.85</v>
      </c>
      <c r="I211" s="196" t="n">
        <f aca="false">LN(H211/H212)</f>
        <v>0.0409087421442558</v>
      </c>
    </row>
    <row r="212" s="35" customFormat="true" ht="14.4" hidden="false" customHeight="false" outlineLevel="0" collapsed="false">
      <c r="B212" s="199"/>
      <c r="E212" s="194" t="n">
        <v>44724</v>
      </c>
      <c r="F212" s="35" t="n">
        <v>732.25</v>
      </c>
      <c r="G212" s="112" t="n">
        <f aca="false">LN(F212/F213)</f>
        <v>-0.0712800002288917</v>
      </c>
      <c r="H212" s="174" t="n">
        <v>36264.55</v>
      </c>
      <c r="I212" s="196" t="n">
        <f aca="false">LN(H212/H213)</f>
        <v>-0.0315971097344856</v>
      </c>
    </row>
    <row r="213" s="35" customFormat="true" ht="14.4" hidden="false" customHeight="false" outlineLevel="0" collapsed="false">
      <c r="B213" s="199"/>
      <c r="E213" s="194" t="n">
        <v>44717</v>
      </c>
      <c r="F213" s="35" t="n">
        <v>786.35</v>
      </c>
      <c r="G213" s="112" t="n">
        <f aca="false">LN(F213/F214)</f>
        <v>-0.0255498660061943</v>
      </c>
      <c r="H213" s="174" t="n">
        <v>37428.7</v>
      </c>
      <c r="I213" s="196" t="n">
        <f aca="false">LN(H213/H214)</f>
        <v>-0.0223304119303539</v>
      </c>
    </row>
    <row r="214" s="35" customFormat="true" ht="14.4" hidden="false" customHeight="false" outlineLevel="0" collapsed="false">
      <c r="B214" s="199"/>
      <c r="E214" s="194" t="n">
        <v>44710</v>
      </c>
      <c r="F214" s="35" t="n">
        <v>806.7</v>
      </c>
      <c r="G214" s="112" t="n">
        <f aca="false">LN(F214/F215)</f>
        <v>0.036482430221282</v>
      </c>
      <c r="H214" s="174" t="n">
        <v>38273.9</v>
      </c>
      <c r="I214" s="196" t="n">
        <f aca="false">LN(H214/H215)</f>
        <v>0.000815509359515368</v>
      </c>
    </row>
    <row r="215" s="35" customFormat="true" ht="14.4" hidden="false" customHeight="false" outlineLevel="0" collapsed="false">
      <c r="B215" s="199"/>
      <c r="E215" s="194" t="n">
        <v>44703</v>
      </c>
      <c r="F215" s="35" t="n">
        <v>777.8</v>
      </c>
      <c r="G215" s="112" t="n">
        <f aca="false">LN(F215/F216)</f>
        <v>-0.0266411798200133</v>
      </c>
      <c r="H215" s="174" t="n">
        <v>38242.7</v>
      </c>
      <c r="I215" s="196" t="n">
        <f aca="false">LN(H215/H216)</f>
        <v>-0.00790872091059831</v>
      </c>
    </row>
    <row r="216" s="35" customFormat="true" ht="14.4" hidden="false" customHeight="false" outlineLevel="0" collapsed="false">
      <c r="B216" s="199"/>
      <c r="E216" s="194" t="n">
        <v>44696</v>
      </c>
      <c r="F216" s="35" t="n">
        <v>798.8</v>
      </c>
      <c r="G216" s="112" t="n">
        <f aca="false">LN(F216/F217)</f>
        <v>-0.0292986695237692</v>
      </c>
      <c r="H216" s="174" t="n">
        <v>38546.35</v>
      </c>
      <c r="I216" s="196" t="n">
        <f aca="false">LN(H216/H217)</f>
        <v>0.0439981613808283</v>
      </c>
    </row>
    <row r="217" s="35" customFormat="true" ht="14.4" hidden="false" customHeight="false" outlineLevel="0" collapsed="false">
      <c r="B217" s="199"/>
      <c r="E217" s="194" t="n">
        <v>44689</v>
      </c>
      <c r="F217" s="35" t="n">
        <v>822.55</v>
      </c>
      <c r="G217" s="112" t="n">
        <f aca="false">LN(F217/F218)</f>
        <v>0.00628069993525237</v>
      </c>
      <c r="H217" s="174" t="n">
        <v>36887.15</v>
      </c>
      <c r="I217" s="196" t="n">
        <f aca="false">LN(H217/H218)</f>
        <v>-0.0105749609020737</v>
      </c>
    </row>
    <row r="218" s="35" customFormat="true" ht="14.4" hidden="false" customHeight="false" outlineLevel="0" collapsed="false">
      <c r="B218" s="199"/>
      <c r="E218" s="194" t="n">
        <v>44682</v>
      </c>
      <c r="F218" s="35" t="n">
        <v>817.4</v>
      </c>
      <c r="G218" s="112" t="n">
        <f aca="false">LN(F218/F219)</f>
        <v>-0.0541122925634111</v>
      </c>
      <c r="H218" s="174" t="n">
        <v>37279.3</v>
      </c>
      <c r="I218" s="196" t="n">
        <f aca="false">LN(H218/H219)</f>
        <v>-0.0245059356381547</v>
      </c>
    </row>
    <row r="219" s="35" customFormat="true" ht="14.4" hidden="false" customHeight="false" outlineLevel="0" collapsed="false">
      <c r="B219" s="199"/>
      <c r="E219" s="194" t="n">
        <v>44675</v>
      </c>
      <c r="F219" s="35" t="n">
        <v>862.85</v>
      </c>
      <c r="G219" s="112" t="n">
        <f aca="false">LN(F219/F220)</f>
        <v>-0.0107778917150782</v>
      </c>
      <c r="H219" s="174" t="n">
        <v>38204.15</v>
      </c>
      <c r="I219" s="196" t="n">
        <f aca="false">LN(H219/H220)</f>
        <v>0.0112847277267406</v>
      </c>
    </row>
    <row r="220" s="35" customFormat="true" ht="14.4" hidden="false" customHeight="false" outlineLevel="0" collapsed="false">
      <c r="B220" s="199"/>
      <c r="E220" s="194" t="n">
        <v>44668</v>
      </c>
      <c r="F220" s="35" t="n">
        <v>872.2</v>
      </c>
      <c r="G220" s="112" t="n">
        <f aca="false">LN(F220/F221)</f>
        <v>-0.024631089789163</v>
      </c>
      <c r="H220" s="174" t="n">
        <v>37775.45</v>
      </c>
      <c r="I220" s="196" t="n">
        <f aca="false">LN(H220/H221)</f>
        <v>-0.0109509386482306</v>
      </c>
    </row>
    <row r="221" s="35" customFormat="true" ht="14.4" hidden="false" customHeight="false" outlineLevel="0" collapsed="false">
      <c r="B221" s="199"/>
      <c r="E221" s="194" t="n">
        <v>44661</v>
      </c>
      <c r="F221" s="35" t="n">
        <v>893.95</v>
      </c>
      <c r="G221" s="112" t="n">
        <f aca="false">LN(F221/F222)</f>
        <v>-0.010183444058924</v>
      </c>
      <c r="H221" s="174" t="n">
        <v>38191.4</v>
      </c>
      <c r="I221" s="196" t="n">
        <f aca="false">LN(H221/H222)</f>
        <v>-0.00343074582340197</v>
      </c>
    </row>
    <row r="222" s="35" customFormat="true" ht="14.4" hidden="false" customHeight="false" outlineLevel="0" collapsed="false">
      <c r="B222" s="199"/>
      <c r="E222" s="194" t="n">
        <v>44654</v>
      </c>
      <c r="F222" s="35" t="n">
        <v>903.1</v>
      </c>
      <c r="G222" s="112" t="n">
        <f aca="false">LN(F222/F223)</f>
        <v>0.004105414920146</v>
      </c>
      <c r="H222" s="174" t="n">
        <v>38322.65</v>
      </c>
      <c r="I222" s="196" t="n">
        <f aca="false">LN(H222/H223)</f>
        <v>0.0429333422584455</v>
      </c>
    </row>
    <row r="223" s="35" customFormat="true" ht="14.4" hidden="false" customHeight="false" outlineLevel="0" collapsed="false">
      <c r="B223" s="199"/>
      <c r="E223" s="194" t="n">
        <v>44647</v>
      </c>
      <c r="F223" s="35" t="n">
        <v>899.4</v>
      </c>
      <c r="G223" s="112" t="n">
        <f aca="false">LN(F223/F224)</f>
        <v>0.0136574383004497</v>
      </c>
      <c r="H223" s="174" t="n">
        <v>36712.15</v>
      </c>
      <c r="I223" s="196" t="n">
        <f aca="false">LN(H223/H224)</f>
        <v>0.0329344266433943</v>
      </c>
    </row>
    <row r="224" s="35" customFormat="true" ht="14.4" hidden="false" customHeight="false" outlineLevel="0" collapsed="false">
      <c r="B224" s="199"/>
      <c r="E224" s="194" t="n">
        <v>44640</v>
      </c>
      <c r="F224" s="35" t="n">
        <v>887.2</v>
      </c>
      <c r="G224" s="112" t="n">
        <f aca="false">LN(F224/F225)</f>
        <v>-0.0358139839088327</v>
      </c>
      <c r="H224" s="174" t="n">
        <v>35522.75</v>
      </c>
      <c r="I224" s="196" t="n">
        <f aca="false">LN(H224/H225)</f>
        <v>-0.03485428964522</v>
      </c>
    </row>
    <row r="225" s="35" customFormat="true" ht="14.4" hidden="false" customHeight="false" outlineLevel="0" collapsed="false">
      <c r="B225" s="199"/>
      <c r="E225" s="194" t="n">
        <v>44633</v>
      </c>
      <c r="F225" s="35" t="n">
        <v>919.55</v>
      </c>
      <c r="G225" s="112" t="n">
        <f aca="false">LN(F225/F226)</f>
        <v>0.0764739649534387</v>
      </c>
      <c r="H225" s="174" t="n">
        <v>36782.7</v>
      </c>
      <c r="I225" s="196" t="n">
        <f aca="false">LN(H225/H226)</f>
        <v>0.0322986346085538</v>
      </c>
    </row>
    <row r="226" s="35" customFormat="true" ht="14.4" hidden="false" customHeight="false" outlineLevel="0" collapsed="false">
      <c r="B226" s="199"/>
      <c r="E226" s="194" t="n">
        <v>44626</v>
      </c>
      <c r="F226" s="35" t="n">
        <v>851.85</v>
      </c>
      <c r="G226" s="112" t="n">
        <f aca="false">LN(F226/F227)</f>
        <v>0.0310578415395615</v>
      </c>
      <c r="H226" s="174" t="n">
        <v>35613.65</v>
      </c>
      <c r="I226" s="196" t="n">
        <f aca="false">LN(H226/H227)</f>
        <v>0.0280707197454464</v>
      </c>
    </row>
    <row r="227" s="35" customFormat="true" ht="14.4" hidden="false" customHeight="false" outlineLevel="0" collapsed="false">
      <c r="B227" s="199"/>
      <c r="E227" s="194" t="n">
        <v>44619</v>
      </c>
      <c r="F227" s="35" t="n">
        <v>825.8</v>
      </c>
      <c r="G227" s="112" t="n">
        <f aca="false">LN(F227/F228)</f>
        <v>-0.0636261105879887</v>
      </c>
      <c r="H227" s="174" t="n">
        <v>34627.85</v>
      </c>
      <c r="I227" s="196" t="n">
        <f aca="false">LN(H227/H228)</f>
        <v>-0.0190136219173185</v>
      </c>
    </row>
    <row r="228" s="35" customFormat="true" ht="14.4" hidden="false" customHeight="false" outlineLevel="0" collapsed="false">
      <c r="B228" s="199"/>
      <c r="E228" s="194" t="n">
        <v>44612</v>
      </c>
      <c r="F228" s="35" t="n">
        <v>880.05</v>
      </c>
      <c r="G228" s="112" t="n">
        <f aca="false">LN(F228/F229)</f>
        <v>0.0514099213563234</v>
      </c>
      <c r="H228" s="174" t="n">
        <v>35292.55</v>
      </c>
      <c r="I228" s="196" t="n">
        <f aca="false">LN(H228/H229)</f>
        <v>-0.0336047500089948</v>
      </c>
    </row>
    <row r="229" s="35" customFormat="true" ht="14.4" hidden="false" customHeight="false" outlineLevel="0" collapsed="false">
      <c r="B229" s="199"/>
      <c r="E229" s="194" t="n">
        <v>44605</v>
      </c>
      <c r="F229" s="35" t="n">
        <v>835.95</v>
      </c>
      <c r="G229" s="112" t="n">
        <f aca="false">LN(F229/F230)</f>
        <v>-0.00993907899179905</v>
      </c>
      <c r="H229" s="174" t="n">
        <v>36498.7</v>
      </c>
      <c r="I229" s="196" t="n">
        <f aca="false">LN(H229/H230)</f>
        <v>-0.00472733346460268</v>
      </c>
    </row>
    <row r="230" s="35" customFormat="true" ht="14.4" hidden="false" customHeight="false" outlineLevel="0" collapsed="false">
      <c r="B230" s="199"/>
      <c r="E230" s="194" t="n">
        <v>44598</v>
      </c>
      <c r="F230" s="35" t="n">
        <v>844.3</v>
      </c>
      <c r="G230" s="112" t="n">
        <f aca="false">LN(F230/F231)</f>
        <v>-0.0472492404958333</v>
      </c>
      <c r="H230" s="174" t="n">
        <v>36671.65</v>
      </c>
      <c r="I230" s="196" t="n">
        <f aca="false">LN(H230/H231)</f>
        <v>-0.0225609309116991</v>
      </c>
    </row>
    <row r="231" s="35" customFormat="true" ht="14.4" hidden="false" customHeight="false" outlineLevel="0" collapsed="false">
      <c r="B231" s="199"/>
      <c r="E231" s="194" t="n">
        <v>44591</v>
      </c>
      <c r="F231" s="35" t="n">
        <v>885.15</v>
      </c>
      <c r="G231" s="112" t="n">
        <f aca="false">LN(F231/F232)</f>
        <v>0.0347141344766854</v>
      </c>
      <c r="H231" s="174" t="n">
        <v>37508.4</v>
      </c>
      <c r="I231" s="196" t="n">
        <f aca="false">LN(H231/H232)</f>
        <v>0.0358290457220803</v>
      </c>
    </row>
    <row r="232" s="35" customFormat="true" ht="14.4" hidden="false" customHeight="false" outlineLevel="0" collapsed="false">
      <c r="B232" s="199"/>
      <c r="E232" s="194" t="n">
        <v>44584</v>
      </c>
      <c r="F232" s="35" t="n">
        <v>854.95</v>
      </c>
      <c r="G232" s="112" t="n">
        <f aca="false">LN(F232/F233)</f>
        <v>-0.0505736952258678</v>
      </c>
      <c r="H232" s="174" t="n">
        <v>36188.3</v>
      </c>
      <c r="I232" s="196" t="n">
        <f aca="false">LN(H232/H233)</f>
        <v>-0.017112465057105</v>
      </c>
    </row>
    <row r="233" s="35" customFormat="true" ht="14.4" hidden="false" customHeight="false" outlineLevel="0" collapsed="false">
      <c r="B233" s="199"/>
      <c r="E233" s="194" t="n">
        <v>44577</v>
      </c>
      <c r="F233" s="35" t="n">
        <v>899.3</v>
      </c>
      <c r="G233" s="112" t="n">
        <f aca="false">LN(F233/F234)</f>
        <v>-0.0487213251917166</v>
      </c>
      <c r="H233" s="174" t="n">
        <v>36812.9</v>
      </c>
      <c r="I233" s="196" t="n">
        <f aca="false">LN(H233/H234)</f>
        <v>-0.0268839662637996</v>
      </c>
    </row>
    <row r="234" s="35" customFormat="true" ht="14.4" hidden="false" customHeight="false" outlineLevel="0" collapsed="false">
      <c r="B234" s="199"/>
      <c r="E234" s="194" t="n">
        <v>44570</v>
      </c>
      <c r="F234" s="35" t="n">
        <v>944.2</v>
      </c>
      <c r="G234" s="112" t="n">
        <f aca="false">LN(F234/F235)</f>
        <v>0.0641855508892981</v>
      </c>
      <c r="H234" s="174" t="n">
        <v>37816</v>
      </c>
      <c r="I234" s="196" t="n">
        <f aca="false">LN(H234/H235)</f>
        <v>-0.00128038368215318</v>
      </c>
    </row>
    <row r="235" s="35" customFormat="true" ht="14.4" hidden="false" customHeight="false" outlineLevel="0" collapsed="false">
      <c r="B235" s="199"/>
      <c r="E235" s="194" t="n">
        <v>44563</v>
      </c>
      <c r="F235" s="35" t="n">
        <v>885.5</v>
      </c>
      <c r="G235" s="112" t="n">
        <f aca="false">LN(F235/F236)</f>
        <v>-0.0142959687707399</v>
      </c>
      <c r="H235" s="174" t="n">
        <v>37864.45</v>
      </c>
      <c r="I235" s="196" t="n">
        <f aca="false">LN(H235/H236)</f>
        <v>0.00754201368359846</v>
      </c>
    </row>
    <row r="236" s="35" customFormat="true" ht="14.4" hidden="false" customHeight="false" outlineLevel="0" collapsed="false">
      <c r="B236" s="199"/>
      <c r="E236" s="194" t="n">
        <v>44556</v>
      </c>
      <c r="F236" s="35" t="n">
        <v>898.25</v>
      </c>
      <c r="G236" s="112" t="n">
        <f aca="false">LN(F236/F237)</f>
        <v>0.0133365195338349</v>
      </c>
      <c r="H236" s="174" t="n">
        <v>37579.95</v>
      </c>
      <c r="I236" s="196" t="n">
        <f aca="false">LN(H236/H237)</f>
        <v>0.0178865531255631</v>
      </c>
    </row>
    <row r="237" s="35" customFormat="true" ht="14.4" hidden="false" customHeight="false" outlineLevel="0" collapsed="false">
      <c r="B237" s="199"/>
      <c r="E237" s="194" t="n">
        <v>44549</v>
      </c>
      <c r="F237" s="35" t="n">
        <v>886.35</v>
      </c>
      <c r="G237" s="112" t="n">
        <f aca="false">LN(F237/F238)</f>
        <v>0.00401323207721199</v>
      </c>
      <c r="H237" s="174" t="n">
        <v>36913.75</v>
      </c>
      <c r="I237" s="196" t="n">
        <f aca="false">LN(H237/H238)</f>
        <v>0.0129719242204336</v>
      </c>
    </row>
    <row r="238" s="35" customFormat="true" ht="14.4" hidden="false" customHeight="false" outlineLevel="0" collapsed="false">
      <c r="B238" s="199"/>
      <c r="E238" s="194" t="n">
        <v>44542</v>
      </c>
      <c r="F238" s="35" t="n">
        <v>882.8</v>
      </c>
      <c r="G238" s="112" t="n">
        <f aca="false">LN(F238/F239)</f>
        <v>-0.0470193348724032</v>
      </c>
      <c r="H238" s="174" t="n">
        <v>36438</v>
      </c>
      <c r="I238" s="196" t="n">
        <f aca="false">LN(H238/H239)</f>
        <v>-0.0469497318351928</v>
      </c>
    </row>
    <row r="239" s="35" customFormat="true" ht="14.4" hidden="false" customHeight="false" outlineLevel="0" collapsed="false">
      <c r="B239" s="199"/>
      <c r="E239" s="194" t="n">
        <v>44535</v>
      </c>
      <c r="F239" s="35" t="n">
        <v>925.3</v>
      </c>
      <c r="G239" s="112" t="n">
        <f aca="false">LN(F239/F240)</f>
        <v>0.0331267072577024</v>
      </c>
      <c r="H239" s="174" t="n">
        <v>38189.55</v>
      </c>
      <c r="I239" s="196" t="n">
        <f aca="false">LN(H239/H240)</f>
        <v>0.0182716529525866</v>
      </c>
    </row>
    <row r="240" s="35" customFormat="true" ht="14.4" hidden="false" customHeight="false" outlineLevel="0" collapsed="false">
      <c r="B240" s="199"/>
      <c r="E240" s="194" t="n">
        <v>44528</v>
      </c>
      <c r="F240" s="35" t="n">
        <v>895.15</v>
      </c>
      <c r="G240" s="112" t="n">
        <f aca="false">LN(F240/F241)</f>
        <v>0.0106130091817447</v>
      </c>
      <c r="H240" s="174" t="n">
        <v>37498.1</v>
      </c>
      <c r="I240" s="196" t="n">
        <f aca="false">LN(H240/H241)</f>
        <v>-0.00130721150198658</v>
      </c>
    </row>
    <row r="241" s="35" customFormat="true" ht="14.4" hidden="false" customHeight="false" outlineLevel="0" collapsed="false">
      <c r="B241" s="199"/>
      <c r="E241" s="194" t="n">
        <v>44521</v>
      </c>
      <c r="F241" s="35" t="n">
        <v>885.7</v>
      </c>
      <c r="G241" s="112" t="n">
        <f aca="false">LN(F241/F242)</f>
        <v>-0.0380497235768459</v>
      </c>
      <c r="H241" s="174" t="n">
        <v>37547.15</v>
      </c>
      <c r="I241" s="196" t="n">
        <f aca="false">LN(H241/H242)</f>
        <v>-0.0345352205463364</v>
      </c>
    </row>
    <row r="242" s="35" customFormat="true" ht="14.4" hidden="false" customHeight="false" outlineLevel="0" collapsed="false">
      <c r="B242" s="199"/>
      <c r="E242" s="194" t="n">
        <v>44514</v>
      </c>
      <c r="F242" s="35" t="n">
        <v>920.05</v>
      </c>
      <c r="G242" s="112" t="n">
        <f aca="false">LN(F242/F243)</f>
        <v>-0.0410458703331477</v>
      </c>
      <c r="H242" s="174" t="n">
        <v>38866.5</v>
      </c>
      <c r="I242" s="196" t="n">
        <f aca="false">LN(H242/H243)</f>
        <v>-0.00118926334340145</v>
      </c>
    </row>
    <row r="243" s="35" customFormat="true" ht="14.4" hidden="false" customHeight="false" outlineLevel="0" collapsed="false">
      <c r="B243" s="199"/>
      <c r="E243" s="194" t="n">
        <v>44507</v>
      </c>
      <c r="F243" s="35" t="n">
        <v>958.6</v>
      </c>
      <c r="G243" s="112" t="n">
        <f aca="false">LN(F243/F244)</f>
        <v>-0.0181935967275162</v>
      </c>
      <c r="H243" s="174" t="n">
        <v>38912.75</v>
      </c>
      <c r="I243" s="196" t="n">
        <f aca="false">LN(H243/H244)</f>
        <v>0.00522141251979836</v>
      </c>
    </row>
    <row r="244" s="35" customFormat="true" ht="14.4" hidden="false" customHeight="false" outlineLevel="0" collapsed="false">
      <c r="B244" s="199"/>
      <c r="E244" s="194" t="n">
        <v>44500</v>
      </c>
      <c r="F244" s="35" t="n">
        <v>976.2</v>
      </c>
      <c r="G244" s="112" t="n">
        <f aca="false">LN(F244/F245)</f>
        <v>0.0299988703746759</v>
      </c>
      <c r="H244" s="174" t="n">
        <v>38710.1</v>
      </c>
      <c r="I244" s="196" t="n">
        <f aca="false">LN(H244/H245)</f>
        <v>0.0126866655403779</v>
      </c>
    </row>
    <row r="245" s="35" customFormat="true" ht="14.4" hidden="false" customHeight="false" outlineLevel="0" collapsed="false">
      <c r="B245" s="199"/>
      <c r="E245" s="194" t="n">
        <v>44493</v>
      </c>
      <c r="F245" s="35" t="n">
        <v>947.35</v>
      </c>
      <c r="G245" s="112" t="n">
        <f aca="false">LN(F245/F246)</f>
        <v>0.127555121985432</v>
      </c>
      <c r="H245" s="174" t="n">
        <v>38222.1</v>
      </c>
      <c r="I245" s="196" t="n">
        <f aca="false">LN(H245/H246)</f>
        <v>-0.0169323434339828</v>
      </c>
    </row>
    <row r="246" s="35" customFormat="true" ht="14.4" hidden="false" customHeight="false" outlineLevel="0" collapsed="false">
      <c r="B246" s="199"/>
      <c r="E246" s="194" t="n">
        <v>44486</v>
      </c>
      <c r="F246" s="35" t="n">
        <v>833.9</v>
      </c>
      <c r="G246" s="112" t="n">
        <f aca="false">LN(F246/F247)</f>
        <v>-0.0635336994088685</v>
      </c>
      <c r="H246" s="174" t="n">
        <v>38874.8</v>
      </c>
      <c r="I246" s="196" t="n">
        <f aca="false">LN(H246/H247)</f>
        <v>-0.0623837786974428</v>
      </c>
    </row>
    <row r="247" s="35" customFormat="true" ht="14.4" hidden="false" customHeight="false" outlineLevel="0" collapsed="false">
      <c r="B247" s="199"/>
      <c r="E247" s="194" t="n">
        <v>44479</v>
      </c>
      <c r="F247" s="35" t="n">
        <v>888.6</v>
      </c>
      <c r="G247" s="112" t="n">
        <f aca="false">LN(F247/F248)</f>
        <v>-0.0285662398188339</v>
      </c>
      <c r="H247" s="174" t="n">
        <v>41377.2</v>
      </c>
      <c r="I247" s="196" t="n">
        <f aca="false">LN(H247/H248)</f>
        <v>0.0340168141962003</v>
      </c>
    </row>
    <row r="248" s="35" customFormat="true" ht="14.4" hidden="false" customHeight="false" outlineLevel="0" collapsed="false">
      <c r="B248" s="199"/>
      <c r="E248" s="194" t="n">
        <v>44472</v>
      </c>
      <c r="F248" s="35" t="n">
        <v>914.35</v>
      </c>
      <c r="G248" s="112" t="n">
        <f aca="false">LN(F248/F249)</f>
        <v>0.0553105280179847</v>
      </c>
      <c r="H248" s="174" t="n">
        <v>39993.35</v>
      </c>
      <c r="I248" s="196" t="n">
        <f aca="false">LN(H248/H249)</f>
        <v>-0.0100918418926362</v>
      </c>
    </row>
    <row r="249" s="35" customFormat="true" ht="14.4" hidden="false" customHeight="false" outlineLevel="0" collapsed="false">
      <c r="B249" s="199"/>
      <c r="E249" s="194" t="n">
        <v>44465</v>
      </c>
      <c r="F249" s="35" t="n">
        <v>865.15</v>
      </c>
      <c r="G249" s="112" t="n">
        <f aca="false">LN(F249/F250)</f>
        <v>0.0442521324113071</v>
      </c>
      <c r="H249" s="174" t="n">
        <v>40399</v>
      </c>
      <c r="I249" s="196" t="n">
        <f aca="false">LN(H249/H250)</f>
        <v>-0.0169816536093889</v>
      </c>
    </row>
    <row r="250" s="35" customFormat="true" ht="14.4" hidden="false" customHeight="false" outlineLevel="0" collapsed="false">
      <c r="B250" s="199"/>
      <c r="E250" s="194" t="n">
        <v>44458</v>
      </c>
      <c r="F250" s="35" t="n">
        <v>827.7</v>
      </c>
      <c r="G250" s="112" t="n">
        <f aca="false">LN(F250/F251)</f>
        <v>0.109638510720419</v>
      </c>
      <c r="H250" s="174" t="n">
        <v>41090.9</v>
      </c>
      <c r="I250" s="196" t="n">
        <f aca="false">LN(H250/H251)</f>
        <v>0.00713156553254427</v>
      </c>
    </row>
    <row r="251" s="35" customFormat="true" ht="14.4" hidden="false" customHeight="false" outlineLevel="0" collapsed="false">
      <c r="B251" s="199"/>
      <c r="E251" s="194" t="n">
        <v>44451</v>
      </c>
      <c r="F251" s="35" t="n">
        <v>741.75</v>
      </c>
      <c r="G251" s="112" t="n">
        <f aca="false">LN(F251/F252)</f>
        <v>-0.0182351511074253</v>
      </c>
      <c r="H251" s="174" t="n">
        <v>40798.9</v>
      </c>
      <c r="I251" s="196" t="n">
        <f aca="false">LN(H251/H252)</f>
        <v>0.00543030463704061</v>
      </c>
    </row>
    <row r="252" s="35" customFormat="true" ht="14.4" hidden="false" customHeight="false" outlineLevel="0" collapsed="false">
      <c r="B252" s="199"/>
      <c r="E252" s="194" t="n">
        <v>44444</v>
      </c>
      <c r="F252" s="35" t="n">
        <v>755.4</v>
      </c>
      <c r="G252" s="112" t="n">
        <f aca="false">LN(F252/F253)</f>
        <v>0.00324858574552791</v>
      </c>
      <c r="H252" s="174" t="n">
        <v>40577.95</v>
      </c>
      <c r="I252" s="196" t="n">
        <f aca="false">LN(H252/H253)</f>
        <v>0.0087050480277016</v>
      </c>
    </row>
    <row r="253" s="35" customFormat="true" ht="14.4" hidden="false" customHeight="false" outlineLevel="0" collapsed="false">
      <c r="B253" s="199"/>
      <c r="E253" s="194" t="n">
        <v>44437</v>
      </c>
      <c r="F253" s="35" t="n">
        <v>752.95</v>
      </c>
      <c r="G253" s="112" t="n">
        <f aca="false">LN(F253/F254)</f>
        <v>0.0722758388907054</v>
      </c>
      <c r="H253" s="174" t="n">
        <v>40226.25</v>
      </c>
      <c r="I253" s="196" t="n">
        <f aca="false">LN(H253/H254)</f>
        <v>0.035597069898479</v>
      </c>
    </row>
    <row r="254" s="35" customFormat="true" ht="14.4" hidden="false" customHeight="false" outlineLevel="0" collapsed="false">
      <c r="B254" s="199"/>
      <c r="E254" s="194" t="n">
        <v>44430</v>
      </c>
      <c r="F254" s="35" t="n">
        <v>700.45</v>
      </c>
      <c r="G254" s="112" t="n">
        <f aca="false">LN(F254/F255)</f>
        <v>-0.00491331497196291</v>
      </c>
      <c r="H254" s="174" t="n">
        <v>38819.5</v>
      </c>
      <c r="I254" s="196" t="n">
        <f aca="false">LN(H254/H255)</f>
        <v>0.00577275807080112</v>
      </c>
    </row>
    <row r="255" s="35" customFormat="true" ht="14.4" hidden="false" customHeight="false" outlineLevel="0" collapsed="false">
      <c r="B255" s="199"/>
      <c r="E255" s="194" t="n">
        <v>44423</v>
      </c>
      <c r="F255" s="35" t="n">
        <v>703.9</v>
      </c>
      <c r="G255" s="112" t="n">
        <f aca="false">LN(F255/F256)</f>
        <v>0.0636391766517058</v>
      </c>
      <c r="H255" s="174" t="n">
        <v>38596.05</v>
      </c>
      <c r="I255" s="196" t="n">
        <f aca="false">LN(H255/H256)</f>
        <v>0.0465100837524923</v>
      </c>
    </row>
    <row r="256" s="35" customFormat="true" ht="14.4" hidden="false" customHeight="false" outlineLevel="0" collapsed="false">
      <c r="B256" s="199"/>
      <c r="E256" s="194" t="n">
        <v>44416</v>
      </c>
      <c r="F256" s="35" t="n">
        <v>660.5</v>
      </c>
      <c r="G256" s="112" t="n">
        <f aca="false">LN(F256/F257)</f>
        <v>0.0193379358875601</v>
      </c>
      <c r="H256" s="174" t="n">
        <v>36842.05</v>
      </c>
      <c r="I256" s="196" t="n">
        <f aca="false">LN(H256/H257)</f>
        <v>0.00468632785710975</v>
      </c>
    </row>
    <row r="257" s="35" customFormat="true" ht="14.4" hidden="false" customHeight="false" outlineLevel="0" collapsed="false">
      <c r="B257" s="199"/>
      <c r="E257" s="194" t="n">
        <v>44409</v>
      </c>
      <c r="F257" s="35" t="n">
        <v>647.85</v>
      </c>
      <c r="G257" s="112" t="n">
        <f aca="false">LN(F257/F258)</f>
        <v>0.0110198228306393</v>
      </c>
      <c r="H257" s="174" t="n">
        <v>36669.8</v>
      </c>
      <c r="I257" s="196" t="n">
        <f aca="false">LN(H257/H258)</f>
        <v>0.0169939610996324</v>
      </c>
    </row>
    <row r="258" s="35" customFormat="true" ht="14.4" hidden="false" customHeight="false" outlineLevel="0" collapsed="false">
      <c r="B258" s="199"/>
      <c r="E258" s="194" t="n">
        <v>44402</v>
      </c>
      <c r="F258" s="35" t="n">
        <v>640.75</v>
      </c>
      <c r="G258" s="112" t="n">
        <f aca="false">LN(F258/F259)</f>
        <v>-0.0645141353544815</v>
      </c>
      <c r="H258" s="174" t="n">
        <v>36051.9</v>
      </c>
      <c r="I258" s="196" t="n">
        <f aca="false">LN(H258/H259)</f>
        <v>-0.0139582533833348</v>
      </c>
    </row>
    <row r="259" s="35" customFormat="true" ht="14.4" hidden="false" customHeight="false" outlineLevel="0" collapsed="false">
      <c r="B259" s="199"/>
      <c r="E259" s="194" t="n">
        <v>44395</v>
      </c>
      <c r="F259" s="35" t="n">
        <v>683.45</v>
      </c>
      <c r="G259" s="112" t="n">
        <f aca="false">LN(F259/F260)</f>
        <v>0.0237639342813884</v>
      </c>
      <c r="H259" s="174" t="n">
        <v>36558.65</v>
      </c>
      <c r="I259" s="196" t="n">
        <f aca="false">LN(H259/H260)</f>
        <v>0.00838051276219605</v>
      </c>
    </row>
    <row r="260" s="35" customFormat="true" ht="14.4" hidden="false" customHeight="false" outlineLevel="0" collapsed="false">
      <c r="B260" s="199"/>
      <c r="E260" s="194" t="n">
        <v>44388</v>
      </c>
      <c r="F260" s="35" t="n">
        <v>667.4</v>
      </c>
      <c r="G260" s="112" t="n">
        <f aca="false">LN(F260/F261)</f>
        <v>0.0183727241137579</v>
      </c>
      <c r="H260" s="174" t="n">
        <v>36253.55</v>
      </c>
      <c r="I260" s="196" t="n">
        <f aca="false">LN(H260/H261)</f>
        <v>0.00190922081602327</v>
      </c>
    </row>
    <row r="261" s="35" customFormat="true" ht="14.4" hidden="false" customHeight="false" outlineLevel="0" collapsed="false">
      <c r="B261" s="199"/>
      <c r="E261" s="194" t="n">
        <v>44381</v>
      </c>
      <c r="F261" s="35" t="n">
        <v>655.25</v>
      </c>
      <c r="G261" s="112" t="n">
        <f aca="false">LN(F261/F262)</f>
        <v>-0.0109282411106164</v>
      </c>
      <c r="H261" s="174" t="n">
        <v>36184.4</v>
      </c>
      <c r="I261" s="196" t="n">
        <f aca="false">LN(H261/H262)</f>
        <v>-0.000892251696255032</v>
      </c>
    </row>
    <row r="262" s="35" customFormat="true" ht="14.4" hidden="false" customHeight="false" outlineLevel="0" collapsed="false">
      <c r="B262" s="199"/>
      <c r="E262" s="194" t="n">
        <v>44374</v>
      </c>
      <c r="F262" s="35" t="n">
        <v>662.45</v>
      </c>
      <c r="G262" s="112" t="n">
        <f aca="false">LN(F262/F263)</f>
        <v>-0.00263822562851403</v>
      </c>
      <c r="H262" s="174" t="n">
        <v>36216.7</v>
      </c>
      <c r="I262" s="196" t="n">
        <f aca="false">LN(H262/H263)</f>
        <v>0.00581947206979616</v>
      </c>
    </row>
    <row r="263" s="35" customFormat="true" ht="14.4" hidden="false" customHeight="false" outlineLevel="0" collapsed="false">
      <c r="B263" s="199"/>
      <c r="E263" s="194" t="n">
        <v>44367</v>
      </c>
      <c r="F263" s="35" t="n">
        <v>664.2</v>
      </c>
      <c r="G263" s="112" t="n">
        <f aca="false">LN(F263/F264)</f>
        <v>-0.012790480664369</v>
      </c>
      <c r="H263" s="174" t="n">
        <v>36006.55</v>
      </c>
      <c r="I263" s="196" t="n">
        <f aca="false">LN(H263/H264)</f>
        <v>-0.00776281775893535</v>
      </c>
    </row>
    <row r="264" s="35" customFormat="true" ht="14.4" hidden="false" customHeight="false" outlineLevel="0" collapsed="false">
      <c r="B264" s="199"/>
      <c r="E264" s="194" t="n">
        <v>44360</v>
      </c>
      <c r="F264" s="35" t="n">
        <v>672.75</v>
      </c>
      <c r="G264" s="112" t="n">
        <f aca="false">LN(F264/F265)</f>
        <v>0.040496889438786</v>
      </c>
      <c r="H264" s="174" t="n">
        <v>36287.15</v>
      </c>
      <c r="I264" s="196" t="n">
        <f aca="false">LN(H264/H265)</f>
        <v>0.0178000949064489</v>
      </c>
    </row>
    <row r="265" s="35" customFormat="true" ht="14.4" hidden="false" customHeight="false" outlineLevel="0" collapsed="false">
      <c r="B265" s="199"/>
      <c r="E265" s="194" t="n">
        <v>44353</v>
      </c>
      <c r="F265" s="35" t="n">
        <v>646.05</v>
      </c>
      <c r="G265" s="112" t="n">
        <f aca="false">LN(F265/F266)</f>
        <v>0.0261893594307152</v>
      </c>
      <c r="H265" s="174" t="n">
        <v>35646.95</v>
      </c>
      <c r="I265" s="196" t="n">
        <f aca="false">LN(H265/H266)</f>
        <v>0.0143804232602954</v>
      </c>
    </row>
    <row r="266" s="35" customFormat="true" ht="14.4" hidden="false" customHeight="false" outlineLevel="0" collapsed="false">
      <c r="B266" s="199"/>
      <c r="E266" s="194" t="n">
        <v>44346</v>
      </c>
      <c r="F266" s="35" t="n">
        <v>629.35</v>
      </c>
      <c r="G266" s="112" t="n">
        <f aca="false">LN(F266/F267)</f>
        <v>0.0291814999484323</v>
      </c>
      <c r="H266" s="174" t="n">
        <v>35138</v>
      </c>
      <c r="I266" s="196" t="n">
        <f aca="false">LN(H266/H267)</f>
        <v>0.00706858009306639</v>
      </c>
    </row>
    <row r="267" s="35" customFormat="true" ht="14.4" hidden="false" customHeight="false" outlineLevel="0" collapsed="false">
      <c r="B267" s="199"/>
      <c r="E267" s="194" t="n">
        <v>44339</v>
      </c>
      <c r="F267" s="35" t="n">
        <v>611.25</v>
      </c>
      <c r="G267" s="112" t="n">
        <f aca="false">LN(F267/F268)</f>
        <v>0.0659300819564056</v>
      </c>
      <c r="H267" s="174" t="n">
        <v>34890.5</v>
      </c>
      <c r="I267" s="196" t="n">
        <f aca="false">LN(H267/H268)</f>
        <v>0.0057472702806485</v>
      </c>
    </row>
    <row r="268" s="35" customFormat="true" ht="14.4" hidden="false" customHeight="false" outlineLevel="0" collapsed="false">
      <c r="B268" s="199"/>
      <c r="E268" s="194" t="n">
        <v>44332</v>
      </c>
      <c r="F268" s="35" t="n">
        <v>572.25</v>
      </c>
      <c r="G268" s="112" t="n">
        <f aca="false">LN(F268/F269)</f>
        <v>0.0122193951514311</v>
      </c>
      <c r="H268" s="174" t="n">
        <v>34690.55</v>
      </c>
      <c r="I268" s="196" t="n">
        <f aca="false">LN(H268/H269)</f>
        <v>-0.00261832066161138</v>
      </c>
    </row>
    <row r="269" s="35" customFormat="true" ht="14.4" hidden="false" customHeight="false" outlineLevel="0" collapsed="false">
      <c r="B269" s="199"/>
      <c r="E269" s="194" t="n">
        <v>44325</v>
      </c>
      <c r="F269" s="35" t="n">
        <v>565.3</v>
      </c>
      <c r="G269" s="112" t="n">
        <f aca="false">LN(F269/F270)</f>
        <v>0.0311725217718437</v>
      </c>
      <c r="H269" s="174" t="n">
        <v>34781.5</v>
      </c>
      <c r="I269" s="196" t="n">
        <f aca="false">LN(H269/H270)</f>
        <v>0.0190993397356865</v>
      </c>
    </row>
    <row r="270" s="35" customFormat="true" ht="14.4" hidden="false" customHeight="false" outlineLevel="0" collapsed="false">
      <c r="B270" s="199"/>
      <c r="E270" s="194" t="n">
        <v>44318</v>
      </c>
      <c r="F270" s="35" t="n">
        <v>547.95</v>
      </c>
      <c r="G270" s="112" t="n">
        <f aca="false">LN(F270/F271)</f>
        <v>0.0532209896107457</v>
      </c>
      <c r="H270" s="174" t="n">
        <v>34123.5</v>
      </c>
      <c r="I270" s="196" t="n">
        <f aca="false">LN(H270/H271)</f>
        <v>0.0147625562898279</v>
      </c>
    </row>
    <row r="271" s="35" customFormat="true" ht="14.4" hidden="false" customHeight="false" outlineLevel="0" collapsed="false">
      <c r="B271" s="199"/>
      <c r="E271" s="194" t="n">
        <v>44311</v>
      </c>
      <c r="F271" s="35" t="n">
        <v>519.55</v>
      </c>
      <c r="G271" s="112" t="n">
        <f aca="false">LN(F271/F272)</f>
        <v>-0.00499185062690192</v>
      </c>
      <c r="H271" s="174" t="n">
        <v>33623.45</v>
      </c>
      <c r="I271" s="196" t="n">
        <f aca="false">LN(H271/H272)</f>
        <v>-0.00304827810981071</v>
      </c>
    </row>
    <row r="272" s="35" customFormat="true" ht="14.4" hidden="false" customHeight="false" outlineLevel="0" collapsed="false">
      <c r="B272" s="199"/>
      <c r="E272" s="194" t="n">
        <v>44304</v>
      </c>
      <c r="F272" s="35" t="n">
        <v>522.15</v>
      </c>
      <c r="G272" s="112" t="n">
        <f aca="false">LN(F272/F273)</f>
        <v>0.0059546852863032</v>
      </c>
      <c r="H272" s="174" t="n">
        <v>33726.1</v>
      </c>
      <c r="I272" s="196" t="n">
        <f aca="false">LN(H272/H273)</f>
        <v>-0.032871502181247</v>
      </c>
    </row>
    <row r="273" s="35" customFormat="true" ht="14.4" hidden="false" customHeight="false" outlineLevel="0" collapsed="false">
      <c r="B273" s="199"/>
      <c r="E273" s="194" t="n">
        <v>44297</v>
      </c>
      <c r="F273" s="35" t="n">
        <v>519.05</v>
      </c>
      <c r="G273" s="112" t="n">
        <f aca="false">LN(F273/F274)</f>
        <v>-0.0343702470098282</v>
      </c>
      <c r="H273" s="174" t="n">
        <v>34853.15</v>
      </c>
      <c r="I273" s="196" t="n">
        <f aca="false">LN(H273/H274)</f>
        <v>-0.0114099481576047</v>
      </c>
    </row>
    <row r="274" s="35" customFormat="true" ht="14.4" hidden="false" customHeight="false" outlineLevel="0" collapsed="false">
      <c r="B274" s="199"/>
      <c r="E274" s="197" t="n">
        <v>44290</v>
      </c>
      <c r="F274" s="200" t="n">
        <v>537.2</v>
      </c>
      <c r="G274" s="201"/>
      <c r="H274" s="202" t="n">
        <v>35253.1</v>
      </c>
      <c r="I274" s="203"/>
    </row>
    <row r="275" s="35" customFormat="true" ht="14.4" hidden="false" customHeight="false" outlineLevel="0" collapsed="false">
      <c r="B275" s="199"/>
    </row>
    <row r="276" s="35" customFormat="true" ht="14.4" hidden="false" customHeight="false" outlineLevel="0" collapsed="false">
      <c r="B276" s="199"/>
    </row>
    <row r="277" s="35" customFormat="true" ht="14.4" hidden="false" customHeight="false" outlineLevel="0" collapsed="false">
      <c r="B277" s="199"/>
    </row>
    <row r="278" s="35" customFormat="true" ht="14.4" hidden="false" customHeight="false" outlineLevel="0" collapsed="false">
      <c r="B278" s="199"/>
    </row>
    <row r="279" s="35" customFormat="true" ht="14.4" hidden="false" customHeight="false" outlineLevel="0" collapsed="false">
      <c r="B279" s="199"/>
    </row>
    <row r="280" s="35" customFormat="true" ht="14.4" hidden="false" customHeight="false" outlineLevel="0" collapsed="false">
      <c r="B280" s="199"/>
    </row>
    <row r="281" s="35" customFormat="true" ht="14.4" hidden="false" customHeight="false" outlineLevel="0" collapsed="false">
      <c r="B281" s="199"/>
    </row>
    <row r="282" s="35" customFormat="true" ht="14.4" hidden="false" customHeight="false" outlineLevel="0" collapsed="false">
      <c r="B282" s="199"/>
    </row>
    <row r="283" s="35" customFormat="true" ht="14.4" hidden="false" customHeight="false" outlineLevel="0" collapsed="false">
      <c r="B283" s="199"/>
    </row>
    <row r="284" s="35" customFormat="true" ht="14.4" hidden="false" customHeight="false" outlineLevel="0" collapsed="false">
      <c r="B284" s="199"/>
    </row>
    <row r="285" s="35" customFormat="true" ht="14.4" hidden="false" customHeight="false" outlineLevel="0" collapsed="false">
      <c r="B285" s="199"/>
    </row>
    <row r="286" s="35" customFormat="true" ht="14.4" hidden="false" customHeight="false" outlineLevel="0" collapsed="false">
      <c r="B286" s="199"/>
    </row>
    <row r="287" s="35" customFormat="true" ht="14.4" hidden="false" customHeight="false" outlineLevel="0" collapsed="false">
      <c r="B287" s="199"/>
    </row>
    <row r="288" s="35" customFormat="true" ht="14.4" hidden="false" customHeight="false" outlineLevel="0" collapsed="false">
      <c r="B288" s="199"/>
    </row>
    <row r="289" s="35" customFormat="true" ht="14.4" hidden="false" customHeight="false" outlineLevel="0" collapsed="false">
      <c r="B289" s="199"/>
    </row>
    <row r="290" s="35" customFormat="true" ht="14.4" hidden="false" customHeight="false" outlineLevel="0" collapsed="false">
      <c r="B290" s="199"/>
    </row>
    <row r="291" s="35" customFormat="true" ht="14.4" hidden="false" customHeight="false" outlineLevel="0" collapsed="false">
      <c r="B291" s="199"/>
    </row>
    <row r="292" s="35" customFormat="true" ht="14.4" hidden="false" customHeight="false" outlineLevel="0" collapsed="false">
      <c r="B292" s="199"/>
    </row>
    <row r="293" s="35" customFormat="true" ht="14.4" hidden="false" customHeight="false" outlineLevel="0" collapsed="false">
      <c r="B293" s="199"/>
    </row>
    <row r="294" s="35" customFormat="true" ht="14.4" hidden="false" customHeight="false" outlineLevel="0" collapsed="false">
      <c r="B294" s="199"/>
    </row>
    <row r="295" s="35" customFormat="true" ht="14.4" hidden="false" customHeight="false" outlineLevel="0" collapsed="false">
      <c r="B295" s="199"/>
    </row>
    <row r="296" s="35" customFormat="true" ht="14.4" hidden="false" customHeight="false" outlineLevel="0" collapsed="false">
      <c r="B296" s="199"/>
    </row>
    <row r="297" s="35" customFormat="true" ht="14.4" hidden="false" customHeight="false" outlineLevel="0" collapsed="false">
      <c r="B297" s="199"/>
    </row>
    <row r="298" s="35" customFormat="true" ht="14.4" hidden="false" customHeight="false" outlineLevel="0" collapsed="false">
      <c r="B298" s="199"/>
    </row>
    <row r="299" s="35" customFormat="true" ht="14.4" hidden="false" customHeight="false" outlineLevel="0" collapsed="false">
      <c r="B299" s="199"/>
    </row>
    <row r="300" s="35" customFormat="true" ht="14.4" hidden="false" customHeight="false" outlineLevel="0" collapsed="false">
      <c r="B300" s="199"/>
    </row>
    <row r="301" s="35" customFormat="true" ht="14.4" hidden="false" customHeight="false" outlineLevel="0" collapsed="false">
      <c r="B301" s="199"/>
    </row>
    <row r="302" s="35" customFormat="true" ht="14.4" hidden="false" customHeight="false" outlineLevel="0" collapsed="false">
      <c r="B302" s="199"/>
    </row>
    <row r="303" s="35" customFormat="true" ht="14.4" hidden="false" customHeight="false" outlineLevel="0" collapsed="false">
      <c r="B303" s="199"/>
    </row>
    <row r="304" s="35" customFormat="true" ht="14.4" hidden="false" customHeight="false" outlineLevel="0" collapsed="false">
      <c r="B304" s="199"/>
    </row>
    <row r="305" s="35" customFormat="true" ht="14.4" hidden="false" customHeight="false" outlineLevel="0" collapsed="false">
      <c r="B305" s="199"/>
    </row>
    <row r="306" s="35" customFormat="true" ht="14.4" hidden="false" customHeight="false" outlineLevel="0" collapsed="false">
      <c r="B306" s="199"/>
    </row>
    <row r="307" s="35" customFormat="true" ht="14.4" hidden="false" customHeight="false" outlineLevel="0" collapsed="false">
      <c r="B307" s="199"/>
    </row>
    <row r="308" s="35" customFormat="true" ht="14.4" hidden="false" customHeight="false" outlineLevel="0" collapsed="false">
      <c r="B308" s="199"/>
    </row>
    <row r="309" s="35" customFormat="true" ht="14.4" hidden="false" customHeight="false" outlineLevel="0" collapsed="false">
      <c r="B309" s="199"/>
    </row>
    <row r="310" s="35" customFormat="true" ht="14.4" hidden="false" customHeight="false" outlineLevel="0" collapsed="false">
      <c r="B310" s="199"/>
    </row>
    <row r="311" s="35" customFormat="true" ht="14.4" hidden="false" customHeight="false" outlineLevel="0" collapsed="false">
      <c r="B311" s="199"/>
    </row>
    <row r="312" s="35" customFormat="true" ht="14.4" hidden="false" customHeight="false" outlineLevel="0" collapsed="false">
      <c r="B312" s="199"/>
    </row>
    <row r="313" s="35" customFormat="true" ht="14.4" hidden="false" customHeight="false" outlineLevel="0" collapsed="false">
      <c r="B313" s="199"/>
    </row>
    <row r="314" s="35" customFormat="true" ht="14.4" hidden="false" customHeight="false" outlineLevel="0" collapsed="false">
      <c r="B314" s="199"/>
    </row>
    <row r="315" s="35" customFormat="true" ht="14.4" hidden="false" customHeight="false" outlineLevel="0" collapsed="false">
      <c r="B315" s="199"/>
    </row>
    <row r="316" s="35" customFormat="true" ht="14.4" hidden="false" customHeight="false" outlineLevel="0" collapsed="false">
      <c r="B316" s="199"/>
    </row>
    <row r="317" s="35" customFormat="true" ht="14.4" hidden="false" customHeight="false" outlineLevel="0" collapsed="false">
      <c r="B317" s="199"/>
    </row>
    <row r="318" s="35" customFormat="true" ht="14.4" hidden="false" customHeight="false" outlineLevel="0" collapsed="false">
      <c r="B318" s="199"/>
    </row>
    <row r="319" s="35" customFormat="true" ht="14.4" hidden="false" customHeight="false" outlineLevel="0" collapsed="false">
      <c r="B319" s="199"/>
    </row>
    <row r="320" s="35" customFormat="true" ht="14.4" hidden="false" customHeight="false" outlineLevel="0" collapsed="false">
      <c r="B320" s="199"/>
    </row>
    <row r="321" s="35" customFormat="true" ht="14.4" hidden="false" customHeight="false" outlineLevel="0" collapsed="false">
      <c r="B321" s="199"/>
    </row>
    <row r="322" s="35" customFormat="true" ht="14.4" hidden="false" customHeight="false" outlineLevel="0" collapsed="false">
      <c r="B322" s="199"/>
    </row>
    <row r="323" s="35" customFormat="true" ht="14.4" hidden="false" customHeight="false" outlineLevel="0" collapsed="false">
      <c r="B323" s="199"/>
    </row>
    <row r="324" s="35" customFormat="true" ht="14.4" hidden="false" customHeight="false" outlineLevel="0" collapsed="false">
      <c r="B324" s="199"/>
    </row>
    <row r="325" s="35" customFormat="true" ht="14.4" hidden="false" customHeight="false" outlineLevel="0" collapsed="false">
      <c r="B325" s="199"/>
    </row>
    <row r="326" s="35" customFormat="true" ht="14.4" hidden="false" customHeight="false" outlineLevel="0" collapsed="false">
      <c r="B326" s="199"/>
    </row>
    <row r="327" s="35" customFormat="true" ht="14.4" hidden="false" customHeight="false" outlineLevel="0" collapsed="false">
      <c r="B327" s="199"/>
    </row>
    <row r="328" s="35" customFormat="true" ht="14.4" hidden="false" customHeight="false" outlineLevel="0" collapsed="false">
      <c r="B328" s="199"/>
    </row>
    <row r="329" s="35" customFormat="true" ht="14.4" hidden="false" customHeight="false" outlineLevel="0" collapsed="false">
      <c r="B329" s="199"/>
    </row>
    <row r="330" s="35" customFormat="true" ht="14.4" hidden="false" customHeight="false" outlineLevel="0" collapsed="false">
      <c r="B330" s="199"/>
    </row>
    <row r="331" s="35" customFormat="true" ht="14.4" hidden="false" customHeight="false" outlineLevel="0" collapsed="false">
      <c r="B331" s="199"/>
    </row>
    <row r="332" s="35" customFormat="true" ht="14.4" hidden="false" customHeight="false" outlineLevel="0" collapsed="false">
      <c r="B332" s="199"/>
    </row>
    <row r="333" s="35" customFormat="true" ht="14.4" hidden="false" customHeight="false" outlineLevel="0" collapsed="false">
      <c r="B333" s="199"/>
    </row>
    <row r="334" s="35" customFormat="true" ht="14.4" hidden="false" customHeight="false" outlineLevel="0" collapsed="false">
      <c r="B334" s="199"/>
    </row>
    <row r="335" s="35" customFormat="true" ht="14.4" hidden="false" customHeight="false" outlineLevel="0" collapsed="false">
      <c r="B335" s="199"/>
    </row>
    <row r="336" s="35" customFormat="true" ht="14.4" hidden="false" customHeight="false" outlineLevel="0" collapsed="false">
      <c r="B336" s="199"/>
    </row>
    <row r="337" s="35" customFormat="true" ht="14.4" hidden="false" customHeight="false" outlineLevel="0" collapsed="false">
      <c r="B337" s="199"/>
    </row>
    <row r="338" s="35" customFormat="true" ht="14.4" hidden="false" customHeight="false" outlineLevel="0" collapsed="false">
      <c r="B338" s="199"/>
    </row>
    <row r="339" s="35" customFormat="true" ht="14.4" hidden="false" customHeight="false" outlineLevel="0" collapsed="false">
      <c r="B339" s="199"/>
    </row>
    <row r="340" s="35" customFormat="true" ht="14.4" hidden="false" customHeight="false" outlineLevel="0" collapsed="false">
      <c r="B340" s="199"/>
    </row>
    <row r="341" s="35" customFormat="true" ht="14.4" hidden="false" customHeight="false" outlineLevel="0" collapsed="false">
      <c r="B341" s="199"/>
    </row>
    <row r="342" s="35" customFormat="true" ht="14.4" hidden="false" customHeight="false" outlineLevel="0" collapsed="false">
      <c r="B342" s="199"/>
    </row>
    <row r="343" s="35" customFormat="true" ht="14.4" hidden="false" customHeight="false" outlineLevel="0" collapsed="false">
      <c r="B343" s="199"/>
    </row>
    <row r="344" s="35" customFormat="true" ht="14.4" hidden="false" customHeight="false" outlineLevel="0" collapsed="false">
      <c r="B344" s="199"/>
    </row>
    <row r="345" s="35" customFormat="true" ht="14.4" hidden="false" customHeight="false" outlineLevel="0" collapsed="false">
      <c r="B345" s="199"/>
    </row>
    <row r="346" s="35" customFormat="true" ht="14.4" hidden="false" customHeight="false" outlineLevel="0" collapsed="false">
      <c r="B346" s="199"/>
    </row>
    <row r="347" s="35" customFormat="true" ht="14.4" hidden="false" customHeight="false" outlineLevel="0" collapsed="false">
      <c r="B347" s="199"/>
    </row>
    <row r="348" s="35" customFormat="true" ht="14.4" hidden="false" customHeight="false" outlineLevel="0" collapsed="false">
      <c r="B348" s="199"/>
    </row>
    <row r="349" s="35" customFormat="true" ht="14.4" hidden="false" customHeight="false" outlineLevel="0" collapsed="false">
      <c r="B349" s="199"/>
    </row>
    <row r="350" s="35" customFormat="true" ht="14.4" hidden="false" customHeight="false" outlineLevel="0" collapsed="false">
      <c r="B350" s="199"/>
    </row>
    <row r="351" s="35" customFormat="true" ht="14.4" hidden="false" customHeight="false" outlineLevel="0" collapsed="false">
      <c r="B351" s="199"/>
    </row>
    <row r="352" s="35" customFormat="true" ht="14.4" hidden="false" customHeight="false" outlineLevel="0" collapsed="false">
      <c r="B352" s="199"/>
    </row>
    <row r="353" s="35" customFormat="true" ht="14.4" hidden="false" customHeight="false" outlineLevel="0" collapsed="false">
      <c r="B353" s="199"/>
    </row>
    <row r="354" s="35" customFormat="true" ht="14.4" hidden="false" customHeight="false" outlineLevel="0" collapsed="false">
      <c r="B354" s="199"/>
    </row>
    <row r="355" s="35" customFormat="true" ht="14.4" hidden="false" customHeight="false" outlineLevel="0" collapsed="false">
      <c r="B355" s="199"/>
    </row>
    <row r="356" s="35" customFormat="true" ht="14.4" hidden="false" customHeight="false" outlineLevel="0" collapsed="false">
      <c r="B356" s="199"/>
    </row>
    <row r="357" s="35" customFormat="true" ht="14.4" hidden="false" customHeight="false" outlineLevel="0" collapsed="false">
      <c r="B357" s="199"/>
    </row>
    <row r="358" s="35" customFormat="true" ht="14.4" hidden="false" customHeight="false" outlineLevel="0" collapsed="false">
      <c r="B358" s="199"/>
    </row>
    <row r="359" s="35" customFormat="true" ht="14.4" hidden="false" customHeight="false" outlineLevel="0" collapsed="false">
      <c r="B359" s="199"/>
    </row>
    <row r="360" s="35" customFormat="true" ht="14.4" hidden="false" customHeight="false" outlineLevel="0" collapsed="false">
      <c r="B360" s="199"/>
    </row>
    <row r="361" s="35" customFormat="true" ht="14.4" hidden="false" customHeight="false" outlineLevel="0" collapsed="false">
      <c r="B361" s="199"/>
    </row>
    <row r="362" s="35" customFormat="true" ht="14.4" hidden="false" customHeight="false" outlineLevel="0" collapsed="false">
      <c r="B362" s="199"/>
    </row>
    <row r="363" s="35" customFormat="true" ht="14.4" hidden="false" customHeight="false" outlineLevel="0" collapsed="false">
      <c r="B363" s="199"/>
    </row>
    <row r="364" s="35" customFormat="true" ht="14.4" hidden="false" customHeight="false" outlineLevel="0" collapsed="false">
      <c r="B364" s="199"/>
    </row>
    <row r="365" s="35" customFormat="true" ht="14.4" hidden="false" customHeight="false" outlineLevel="0" collapsed="false">
      <c r="B365" s="199"/>
    </row>
    <row r="366" s="35" customFormat="true" ht="14.4" hidden="false" customHeight="false" outlineLevel="0" collapsed="false">
      <c r="B366" s="199"/>
    </row>
    <row r="367" s="35" customFormat="true" ht="14.4" hidden="false" customHeight="false" outlineLevel="0" collapsed="false">
      <c r="B367" s="199"/>
    </row>
    <row r="368" s="35" customFormat="true" ht="14.4" hidden="false" customHeight="false" outlineLevel="0" collapsed="false">
      <c r="B368" s="199"/>
    </row>
    <row r="369" s="35" customFormat="true" ht="14.4" hidden="false" customHeight="false" outlineLevel="0" collapsed="false">
      <c r="B369" s="199"/>
    </row>
    <row r="370" s="35" customFormat="true" ht="14.4" hidden="false" customHeight="false" outlineLevel="0" collapsed="false">
      <c r="B370" s="199"/>
    </row>
    <row r="371" s="35" customFormat="true" ht="14.4" hidden="false" customHeight="false" outlineLevel="0" collapsed="false">
      <c r="B371" s="199"/>
    </row>
    <row r="372" s="35" customFormat="true" ht="14.4" hidden="false" customHeight="false" outlineLevel="0" collapsed="false">
      <c r="B372" s="199"/>
    </row>
    <row r="373" s="35" customFormat="true" ht="14.4" hidden="false" customHeight="false" outlineLevel="0" collapsed="false">
      <c r="B373" s="199"/>
    </row>
    <row r="374" s="35" customFormat="true" ht="14.4" hidden="false" customHeight="false" outlineLevel="0" collapsed="false">
      <c r="B374" s="199"/>
    </row>
    <row r="375" s="35" customFormat="true" ht="14.4" hidden="false" customHeight="false" outlineLevel="0" collapsed="false">
      <c r="B375" s="199"/>
    </row>
    <row r="376" s="35" customFormat="true" ht="14.4" hidden="false" customHeight="false" outlineLevel="0" collapsed="false">
      <c r="B376" s="199"/>
    </row>
    <row r="377" s="35" customFormat="true" ht="14.4" hidden="false" customHeight="false" outlineLevel="0" collapsed="false">
      <c r="B377" s="199"/>
    </row>
    <row r="378" s="35" customFormat="true" ht="14.4" hidden="false" customHeight="false" outlineLevel="0" collapsed="false">
      <c r="B378" s="199"/>
    </row>
    <row r="379" s="35" customFormat="true" ht="14.4" hidden="false" customHeight="false" outlineLevel="0" collapsed="false">
      <c r="B379" s="199"/>
    </row>
    <row r="380" s="35" customFormat="true" ht="14.4" hidden="false" customHeight="false" outlineLevel="0" collapsed="false">
      <c r="B380" s="199"/>
    </row>
    <row r="381" s="35" customFormat="true" ht="14.4" hidden="false" customHeight="false" outlineLevel="0" collapsed="false">
      <c r="B381" s="199"/>
    </row>
    <row r="382" s="35" customFormat="true" ht="14.4" hidden="false" customHeight="false" outlineLevel="0" collapsed="false">
      <c r="B382" s="199"/>
    </row>
    <row r="383" s="35" customFormat="true" ht="14.4" hidden="false" customHeight="false" outlineLevel="0" collapsed="false">
      <c r="B383" s="199"/>
    </row>
    <row r="384" s="35" customFormat="true" ht="14.4" hidden="false" customHeight="false" outlineLevel="0" collapsed="false">
      <c r="B384" s="199"/>
    </row>
    <row r="385" s="35" customFormat="true" ht="14.4" hidden="false" customHeight="false" outlineLevel="0" collapsed="false">
      <c r="B385" s="199"/>
    </row>
    <row r="386" s="35" customFormat="true" ht="14.4" hidden="false" customHeight="false" outlineLevel="0" collapsed="false">
      <c r="B386" s="199"/>
    </row>
    <row r="387" s="35" customFormat="true" ht="14.4" hidden="false" customHeight="false" outlineLevel="0" collapsed="false">
      <c r="B387" s="199"/>
    </row>
    <row r="388" s="35" customFormat="true" ht="14.4" hidden="false" customHeight="false" outlineLevel="0" collapsed="false">
      <c r="B388" s="199"/>
    </row>
    <row r="389" s="35" customFormat="true" ht="14.4" hidden="false" customHeight="false" outlineLevel="0" collapsed="false">
      <c r="B389" s="199"/>
    </row>
    <row r="390" s="35" customFormat="true" ht="14.4" hidden="false" customHeight="false" outlineLevel="0" collapsed="false">
      <c r="B390" s="199"/>
    </row>
    <row r="391" s="35" customFormat="true" ht="14.4" hidden="false" customHeight="false" outlineLevel="0" collapsed="false">
      <c r="B391" s="199"/>
    </row>
    <row r="392" s="35" customFormat="true" ht="14.4" hidden="false" customHeight="false" outlineLevel="0" collapsed="false">
      <c r="B392" s="199"/>
    </row>
    <row r="393" s="35" customFormat="true" ht="14.4" hidden="false" customHeight="false" outlineLevel="0" collapsed="false">
      <c r="B393" s="199"/>
    </row>
    <row r="394" s="35" customFormat="true" ht="14.4" hidden="false" customHeight="false" outlineLevel="0" collapsed="false">
      <c r="B394" s="199"/>
    </row>
    <row r="395" s="35" customFormat="true" ht="14.4" hidden="false" customHeight="false" outlineLevel="0" collapsed="false">
      <c r="B395" s="199"/>
    </row>
    <row r="396" s="35" customFormat="true" ht="14.4" hidden="false" customHeight="false" outlineLevel="0" collapsed="false">
      <c r="B396" s="199"/>
    </row>
    <row r="397" s="35" customFormat="true" ht="14.4" hidden="false" customHeight="false" outlineLevel="0" collapsed="false">
      <c r="B397" s="199"/>
    </row>
    <row r="398" s="35" customFormat="true" ht="14.4" hidden="false" customHeight="false" outlineLevel="0" collapsed="false">
      <c r="B398" s="199"/>
    </row>
    <row r="399" s="35" customFormat="true" ht="14.4" hidden="false" customHeight="false" outlineLevel="0" collapsed="false">
      <c r="B399" s="199"/>
    </row>
    <row r="400" s="35" customFormat="true" ht="14.4" hidden="false" customHeight="false" outlineLevel="0" collapsed="false">
      <c r="B400" s="199"/>
    </row>
    <row r="401" s="35" customFormat="true" ht="14.4" hidden="false" customHeight="false" outlineLevel="0" collapsed="false">
      <c r="B401" s="199"/>
    </row>
    <row r="402" s="35" customFormat="true" ht="14.4" hidden="false" customHeight="false" outlineLevel="0" collapsed="false">
      <c r="B402" s="199"/>
    </row>
    <row r="403" s="35" customFormat="true" ht="14.4" hidden="false" customHeight="false" outlineLevel="0" collapsed="false">
      <c r="B403" s="199"/>
    </row>
    <row r="404" s="35" customFormat="true" ht="14.4" hidden="false" customHeight="false" outlineLevel="0" collapsed="false">
      <c r="B404" s="199"/>
    </row>
    <row r="405" s="35" customFormat="true" ht="14.4" hidden="false" customHeight="false" outlineLevel="0" collapsed="false">
      <c r="B405" s="199"/>
    </row>
    <row r="406" s="35" customFormat="true" ht="14.4" hidden="false" customHeight="false" outlineLevel="0" collapsed="false">
      <c r="B406" s="199"/>
    </row>
    <row r="407" s="35" customFormat="true" ht="14.4" hidden="false" customHeight="false" outlineLevel="0" collapsed="false">
      <c r="B407" s="199"/>
    </row>
    <row r="408" s="35" customFormat="true" ht="14.4" hidden="false" customHeight="false" outlineLevel="0" collapsed="false">
      <c r="B408" s="199"/>
    </row>
    <row r="409" s="35" customFormat="true" ht="14.4" hidden="false" customHeight="false" outlineLevel="0" collapsed="false">
      <c r="B409" s="199"/>
    </row>
    <row r="410" s="35" customFormat="true" ht="14.4" hidden="false" customHeight="false" outlineLevel="0" collapsed="false">
      <c r="B410" s="199"/>
    </row>
    <row r="411" s="35" customFormat="true" ht="14.4" hidden="false" customHeight="false" outlineLevel="0" collapsed="false">
      <c r="B411" s="199"/>
    </row>
    <row r="412" s="35" customFormat="true" ht="14.4" hidden="false" customHeight="false" outlineLevel="0" collapsed="false">
      <c r="B412" s="199"/>
    </row>
    <row r="413" s="35" customFormat="true" ht="14.4" hidden="false" customHeight="false" outlineLevel="0" collapsed="false">
      <c r="B413" s="199"/>
    </row>
    <row r="414" s="35" customFormat="true" ht="14.4" hidden="false" customHeight="false" outlineLevel="0" collapsed="false">
      <c r="B414" s="199"/>
    </row>
    <row r="415" s="35" customFormat="true" ht="14.4" hidden="false" customHeight="false" outlineLevel="0" collapsed="false">
      <c r="B415" s="199"/>
    </row>
    <row r="416" s="35" customFormat="true" ht="14.4" hidden="false" customHeight="false" outlineLevel="0" collapsed="false">
      <c r="B416" s="199"/>
    </row>
    <row r="417" s="35" customFormat="true" ht="14.4" hidden="false" customHeight="false" outlineLevel="0" collapsed="false">
      <c r="B417" s="199"/>
    </row>
    <row r="418" s="35" customFormat="true" ht="14.4" hidden="false" customHeight="false" outlineLevel="0" collapsed="false">
      <c r="B418" s="199"/>
    </row>
    <row r="419" s="35" customFormat="true" ht="14.4" hidden="false" customHeight="false" outlineLevel="0" collapsed="false">
      <c r="B419" s="199"/>
    </row>
    <row r="420" s="35" customFormat="true" ht="14.4" hidden="false" customHeight="false" outlineLevel="0" collapsed="false">
      <c r="B420" s="199"/>
    </row>
    <row r="421" s="35" customFormat="true" ht="14.4" hidden="false" customHeight="false" outlineLevel="0" collapsed="false">
      <c r="B421" s="199"/>
    </row>
    <row r="422" s="35" customFormat="true" ht="14.4" hidden="false" customHeight="false" outlineLevel="0" collapsed="false">
      <c r="B422" s="199"/>
    </row>
    <row r="423" s="35" customFormat="true" ht="14.4" hidden="false" customHeight="false" outlineLevel="0" collapsed="false">
      <c r="B423" s="199"/>
    </row>
    <row r="424" s="35" customFormat="true" ht="14.4" hidden="false" customHeight="false" outlineLevel="0" collapsed="false">
      <c r="B424" s="199"/>
    </row>
    <row r="425" s="35" customFormat="true" ht="14.4" hidden="false" customHeight="false" outlineLevel="0" collapsed="false">
      <c r="B425" s="199"/>
    </row>
    <row r="426" s="35" customFormat="true" ht="14.4" hidden="false" customHeight="false" outlineLevel="0" collapsed="false">
      <c r="B426" s="199"/>
    </row>
    <row r="427" s="35" customFormat="true" ht="14.4" hidden="false" customHeight="false" outlineLevel="0" collapsed="false">
      <c r="B427" s="199"/>
    </row>
    <row r="428" s="35" customFormat="true" ht="14.4" hidden="false" customHeight="false" outlineLevel="0" collapsed="false">
      <c r="B428" s="199"/>
    </row>
    <row r="429" s="35" customFormat="true" ht="14.4" hidden="false" customHeight="false" outlineLevel="0" collapsed="false">
      <c r="B429" s="199"/>
    </row>
    <row r="430" s="35" customFormat="true" ht="14.4" hidden="false" customHeight="false" outlineLevel="0" collapsed="false">
      <c r="B430" s="199"/>
    </row>
    <row r="431" s="35" customFormat="true" ht="14.4" hidden="false" customHeight="false" outlineLevel="0" collapsed="false">
      <c r="B431" s="199"/>
    </row>
    <row r="432" s="35" customFormat="true" ht="14.4" hidden="false" customHeight="false" outlineLevel="0" collapsed="false">
      <c r="B432" s="199"/>
    </row>
    <row r="433" s="35" customFormat="true" ht="14.4" hidden="false" customHeight="false" outlineLevel="0" collapsed="false">
      <c r="B433" s="199"/>
    </row>
    <row r="434" s="35" customFormat="true" ht="14.4" hidden="false" customHeight="false" outlineLevel="0" collapsed="false">
      <c r="B434" s="199"/>
    </row>
    <row r="435" s="35" customFormat="true" ht="14.4" hidden="false" customHeight="false" outlineLevel="0" collapsed="false">
      <c r="B435" s="199"/>
    </row>
    <row r="436" s="35" customFormat="true" ht="14.4" hidden="false" customHeight="false" outlineLevel="0" collapsed="false">
      <c r="B436" s="199"/>
    </row>
    <row r="437" s="35" customFormat="true" ht="14.4" hidden="false" customHeight="false" outlineLevel="0" collapsed="false">
      <c r="B437" s="199"/>
    </row>
    <row r="438" s="35" customFormat="true" ht="14.4" hidden="false" customHeight="false" outlineLevel="0" collapsed="false">
      <c r="B438" s="199"/>
    </row>
    <row r="439" s="35" customFormat="true" ht="14.4" hidden="false" customHeight="false" outlineLevel="0" collapsed="false">
      <c r="B439" s="199"/>
    </row>
    <row r="440" s="35" customFormat="true" ht="14.4" hidden="false" customHeight="false" outlineLevel="0" collapsed="false">
      <c r="B440" s="199"/>
    </row>
    <row r="441" s="35" customFormat="true" ht="14.4" hidden="false" customHeight="false" outlineLevel="0" collapsed="false">
      <c r="B441" s="199"/>
    </row>
    <row r="442" s="35" customFormat="true" ht="14.4" hidden="false" customHeight="false" outlineLevel="0" collapsed="false">
      <c r="B442" s="199"/>
    </row>
    <row r="443" s="35" customFormat="true" ht="14.4" hidden="false" customHeight="false" outlineLevel="0" collapsed="false">
      <c r="B443" s="199"/>
    </row>
    <row r="444" s="35" customFormat="true" ht="14.4" hidden="false" customHeight="false" outlineLevel="0" collapsed="false">
      <c r="B444" s="199"/>
    </row>
    <row r="445" s="35" customFormat="true" ht="14.4" hidden="false" customHeight="false" outlineLevel="0" collapsed="false">
      <c r="B445" s="199"/>
    </row>
    <row r="446" s="35" customFormat="true" ht="14.4" hidden="false" customHeight="false" outlineLevel="0" collapsed="false">
      <c r="B446" s="199"/>
    </row>
    <row r="447" s="35" customFormat="true" ht="14.4" hidden="false" customHeight="false" outlineLevel="0" collapsed="false">
      <c r="B447" s="199"/>
    </row>
    <row r="448" s="35" customFormat="true" ht="14.4" hidden="false" customHeight="false" outlineLevel="0" collapsed="false">
      <c r="B448" s="199"/>
    </row>
    <row r="449" s="35" customFormat="true" ht="14.4" hidden="false" customHeight="false" outlineLevel="0" collapsed="false">
      <c r="B449" s="199"/>
    </row>
    <row r="450" s="35" customFormat="true" ht="14.4" hidden="false" customHeight="false" outlineLevel="0" collapsed="false">
      <c r="B450" s="199"/>
    </row>
    <row r="451" s="35" customFormat="true" ht="14.4" hidden="false" customHeight="false" outlineLevel="0" collapsed="false">
      <c r="B451" s="199"/>
    </row>
    <row r="452" s="35" customFormat="true" ht="14.4" hidden="false" customHeight="false" outlineLevel="0" collapsed="false">
      <c r="B452" s="199"/>
    </row>
    <row r="453" s="35" customFormat="true" ht="14.4" hidden="false" customHeight="false" outlineLevel="0" collapsed="false">
      <c r="B453" s="199"/>
    </row>
    <row r="454" s="35" customFormat="true" ht="14.4" hidden="false" customHeight="false" outlineLevel="0" collapsed="false">
      <c r="B454" s="199"/>
    </row>
    <row r="455" s="35" customFormat="true" ht="14.4" hidden="false" customHeight="false" outlineLevel="0" collapsed="false">
      <c r="B455" s="199"/>
    </row>
    <row r="456" s="35" customFormat="true" ht="14.4" hidden="false" customHeight="false" outlineLevel="0" collapsed="false">
      <c r="B456" s="199"/>
    </row>
    <row r="457" s="35" customFormat="true" ht="14.4" hidden="false" customHeight="false" outlineLevel="0" collapsed="false">
      <c r="B457" s="199"/>
    </row>
    <row r="458" s="35" customFormat="true" ht="14.4" hidden="false" customHeight="false" outlineLevel="0" collapsed="false">
      <c r="B458" s="199"/>
    </row>
    <row r="459" s="35" customFormat="true" ht="14.4" hidden="false" customHeight="false" outlineLevel="0" collapsed="false">
      <c r="B459" s="199"/>
    </row>
    <row r="460" s="35" customFormat="true" ht="14.4" hidden="false" customHeight="false" outlineLevel="0" collapsed="false">
      <c r="B460" s="199"/>
    </row>
    <row r="461" s="35" customFormat="true" ht="14.4" hidden="false" customHeight="false" outlineLevel="0" collapsed="false">
      <c r="B461" s="199"/>
    </row>
    <row r="462" s="35" customFormat="true" ht="14.4" hidden="false" customHeight="false" outlineLevel="0" collapsed="false">
      <c r="B462" s="199"/>
    </row>
    <row r="463" s="35" customFormat="true" ht="14.4" hidden="false" customHeight="false" outlineLevel="0" collapsed="false">
      <c r="B463" s="199"/>
    </row>
    <row r="464" s="35" customFormat="true" ht="14.4" hidden="false" customHeight="false" outlineLevel="0" collapsed="false">
      <c r="B464" s="199"/>
    </row>
    <row r="465" s="35" customFormat="true" ht="14.4" hidden="false" customHeight="false" outlineLevel="0" collapsed="false">
      <c r="B465" s="199"/>
    </row>
    <row r="466" s="35" customFormat="true" ht="14.4" hidden="false" customHeight="false" outlineLevel="0" collapsed="false">
      <c r="B466" s="199"/>
    </row>
    <row r="467" s="35" customFormat="true" ht="14.4" hidden="false" customHeight="false" outlineLevel="0" collapsed="false">
      <c r="B467" s="199"/>
    </row>
    <row r="468" s="35" customFormat="true" ht="14.4" hidden="false" customHeight="false" outlineLevel="0" collapsed="false">
      <c r="B468" s="199"/>
    </row>
    <row r="469" s="35" customFormat="true" ht="14.4" hidden="false" customHeight="false" outlineLevel="0" collapsed="false">
      <c r="B469" s="199"/>
    </row>
    <row r="470" s="35" customFormat="true" ht="14.4" hidden="false" customHeight="false" outlineLevel="0" collapsed="false">
      <c r="B470" s="199"/>
    </row>
    <row r="471" s="35" customFormat="true" ht="14.4" hidden="false" customHeight="false" outlineLevel="0" collapsed="false">
      <c r="B471" s="199"/>
    </row>
    <row r="472" s="35" customFormat="true" ht="14.4" hidden="false" customHeight="false" outlineLevel="0" collapsed="false">
      <c r="B472" s="199"/>
    </row>
    <row r="473" s="35" customFormat="true" ht="14.4" hidden="false" customHeight="false" outlineLevel="0" collapsed="false">
      <c r="B473" s="199"/>
    </row>
    <row r="474" s="35" customFormat="true" ht="14.4" hidden="false" customHeight="false" outlineLevel="0" collapsed="false">
      <c r="B474" s="199"/>
    </row>
    <row r="475" s="35" customFormat="true" ht="14.4" hidden="false" customHeight="false" outlineLevel="0" collapsed="false">
      <c r="B475" s="199"/>
    </row>
    <row r="476" s="35" customFormat="true" ht="14.4" hidden="false" customHeight="false" outlineLevel="0" collapsed="false">
      <c r="B476" s="199"/>
    </row>
    <row r="477" s="35" customFormat="true" ht="14.4" hidden="false" customHeight="false" outlineLevel="0" collapsed="false">
      <c r="B477" s="199"/>
    </row>
    <row r="478" s="35" customFormat="true" ht="14.4" hidden="false" customHeight="false" outlineLevel="0" collapsed="false">
      <c r="B478" s="199"/>
    </row>
    <row r="479" s="35" customFormat="true" ht="14.4" hidden="false" customHeight="false" outlineLevel="0" collapsed="false">
      <c r="B479" s="199"/>
    </row>
    <row r="480" s="35" customFormat="true" ht="14.4" hidden="false" customHeight="false" outlineLevel="0" collapsed="false">
      <c r="B480" s="199"/>
    </row>
    <row r="481" s="35" customFormat="true" ht="14.4" hidden="false" customHeight="false" outlineLevel="0" collapsed="false">
      <c r="B481" s="199"/>
    </row>
    <row r="482" s="35" customFormat="true" ht="14.4" hidden="false" customHeight="false" outlineLevel="0" collapsed="false">
      <c r="B482" s="199"/>
    </row>
    <row r="483" s="35" customFormat="true" ht="14.4" hidden="false" customHeight="false" outlineLevel="0" collapsed="false">
      <c r="B483" s="199"/>
    </row>
    <row r="484" s="35" customFormat="true" ht="14.4" hidden="false" customHeight="false" outlineLevel="0" collapsed="false">
      <c r="B484" s="199"/>
    </row>
    <row r="485" s="35" customFormat="true" ht="14.4" hidden="false" customHeight="false" outlineLevel="0" collapsed="false">
      <c r="B485" s="199"/>
    </row>
    <row r="486" s="35" customFormat="true" ht="14.4" hidden="false" customHeight="false" outlineLevel="0" collapsed="false">
      <c r="B486" s="199"/>
    </row>
    <row r="487" s="35" customFormat="true" ht="14.4" hidden="false" customHeight="false" outlineLevel="0" collapsed="false">
      <c r="B487" s="199"/>
    </row>
    <row r="488" s="35" customFormat="true" ht="14.4" hidden="false" customHeight="false" outlineLevel="0" collapsed="false">
      <c r="B488" s="199"/>
    </row>
    <row r="489" s="35" customFormat="true" ht="14.4" hidden="false" customHeight="false" outlineLevel="0" collapsed="false">
      <c r="B489" s="199"/>
    </row>
    <row r="490" s="35" customFormat="true" ht="14.4" hidden="false" customHeight="false" outlineLevel="0" collapsed="false">
      <c r="B490" s="199"/>
    </row>
    <row r="491" s="35" customFormat="true" ht="14.4" hidden="false" customHeight="false" outlineLevel="0" collapsed="false">
      <c r="B491" s="199"/>
    </row>
    <row r="492" s="35" customFormat="true" ht="14.4" hidden="false" customHeight="false" outlineLevel="0" collapsed="false">
      <c r="B492" s="199"/>
    </row>
    <row r="493" s="35" customFormat="true" ht="14.4" hidden="false" customHeight="false" outlineLevel="0" collapsed="false">
      <c r="B493" s="199"/>
    </row>
    <row r="494" s="35" customFormat="true" ht="14.4" hidden="false" customHeight="false" outlineLevel="0" collapsed="false">
      <c r="B494" s="199"/>
    </row>
    <row r="495" s="35" customFormat="true" ht="14.4" hidden="false" customHeight="false" outlineLevel="0" collapsed="false">
      <c r="B495" s="199"/>
    </row>
    <row r="496" s="35" customFormat="true" ht="14.4" hidden="false" customHeight="false" outlineLevel="0" collapsed="false">
      <c r="B496" s="199"/>
    </row>
    <row r="497" s="35" customFormat="true" ht="14.4" hidden="false" customHeight="false" outlineLevel="0" collapsed="false">
      <c r="B497" s="199"/>
    </row>
    <row r="498" s="35" customFormat="true" ht="14.4" hidden="false" customHeight="false" outlineLevel="0" collapsed="false">
      <c r="B498" s="199"/>
    </row>
    <row r="499" s="35" customFormat="true" ht="14.4" hidden="false" customHeight="false" outlineLevel="0" collapsed="false">
      <c r="B499" s="199"/>
    </row>
    <row r="500" s="35" customFormat="true" ht="14.4" hidden="false" customHeight="false" outlineLevel="0" collapsed="false">
      <c r="B500" s="199"/>
    </row>
    <row r="501" s="35" customFormat="true" ht="14.4" hidden="false" customHeight="false" outlineLevel="0" collapsed="false">
      <c r="B501" s="199"/>
    </row>
    <row r="502" s="35" customFormat="true" ht="14.4" hidden="false" customHeight="false" outlineLevel="0" collapsed="false">
      <c r="B502" s="199"/>
    </row>
    <row r="503" s="35" customFormat="true" ht="14.4" hidden="false" customHeight="false" outlineLevel="0" collapsed="false">
      <c r="B503" s="199"/>
    </row>
    <row r="504" s="35" customFormat="true" ht="14.4" hidden="false" customHeight="false" outlineLevel="0" collapsed="false">
      <c r="B504" s="199"/>
    </row>
    <row r="505" s="35" customFormat="true" ht="14.4" hidden="false" customHeight="false" outlineLevel="0" collapsed="false">
      <c r="B505" s="199"/>
    </row>
    <row r="506" s="35" customFormat="true" ht="14.4" hidden="false" customHeight="false" outlineLevel="0" collapsed="false">
      <c r="B506" s="199"/>
    </row>
    <row r="507" s="35" customFormat="true" ht="14.4" hidden="false" customHeight="false" outlineLevel="0" collapsed="false">
      <c r="B507" s="199"/>
    </row>
    <row r="508" s="35" customFormat="true" ht="14.4" hidden="false" customHeight="false" outlineLevel="0" collapsed="false">
      <c r="B508" s="199"/>
    </row>
    <row r="509" s="35" customFormat="true" ht="14.4" hidden="false" customHeight="false" outlineLevel="0" collapsed="false">
      <c r="B509" s="199"/>
    </row>
    <row r="510" s="35" customFormat="true" ht="14.4" hidden="false" customHeight="false" outlineLevel="0" collapsed="false">
      <c r="B510" s="199"/>
    </row>
    <row r="511" s="35" customFormat="true" ht="14.4" hidden="false" customHeight="false" outlineLevel="0" collapsed="false">
      <c r="B511" s="199"/>
    </row>
    <row r="512" s="35" customFormat="true" ht="14.4" hidden="false" customHeight="false" outlineLevel="0" collapsed="false">
      <c r="B512" s="199"/>
    </row>
    <row r="513" s="35" customFormat="true" ht="14.4" hidden="false" customHeight="false" outlineLevel="0" collapsed="false">
      <c r="B513" s="199"/>
    </row>
    <row r="514" s="35" customFormat="true" ht="14.4" hidden="false" customHeight="false" outlineLevel="0" collapsed="false">
      <c r="B514" s="199"/>
    </row>
    <row r="515" s="35" customFormat="true" ht="14.4" hidden="false" customHeight="false" outlineLevel="0" collapsed="false">
      <c r="B515" s="199"/>
    </row>
    <row r="516" s="35" customFormat="true" ht="14.4" hidden="false" customHeight="false" outlineLevel="0" collapsed="false">
      <c r="B516" s="199"/>
    </row>
    <row r="517" s="35" customFormat="true" ht="14.4" hidden="false" customHeight="false" outlineLevel="0" collapsed="false">
      <c r="B517" s="199"/>
    </row>
    <row r="518" s="35" customFormat="true" ht="14.4" hidden="false" customHeight="false" outlineLevel="0" collapsed="false">
      <c r="B518" s="199"/>
    </row>
    <row r="519" s="35" customFormat="true" ht="14.4" hidden="false" customHeight="false" outlineLevel="0" collapsed="false">
      <c r="B519" s="199"/>
    </row>
    <row r="520" s="35" customFormat="true" ht="14.4" hidden="false" customHeight="false" outlineLevel="0" collapsed="false">
      <c r="B520" s="199"/>
    </row>
    <row r="521" s="35" customFormat="true" ht="14.4" hidden="false" customHeight="false" outlineLevel="0" collapsed="false">
      <c r="B521" s="199"/>
    </row>
    <row r="522" s="35" customFormat="true" ht="14.4" hidden="false" customHeight="false" outlineLevel="0" collapsed="false">
      <c r="B522" s="199"/>
    </row>
    <row r="523" s="35" customFormat="true" ht="14.4" hidden="false" customHeight="false" outlineLevel="0" collapsed="false">
      <c r="B523" s="199"/>
    </row>
    <row r="524" s="35" customFormat="true" ht="14.4" hidden="false" customHeight="false" outlineLevel="0" collapsed="false">
      <c r="B524" s="199"/>
    </row>
    <row r="525" s="35" customFormat="true" ht="14.4" hidden="false" customHeight="false" outlineLevel="0" collapsed="false">
      <c r="B525" s="199"/>
    </row>
    <row r="526" s="35" customFormat="true" ht="14.4" hidden="false" customHeight="false" outlineLevel="0" collapsed="false">
      <c r="B526" s="199"/>
    </row>
    <row r="527" s="35" customFormat="true" ht="14.4" hidden="false" customHeight="false" outlineLevel="0" collapsed="false">
      <c r="B527" s="199"/>
    </row>
    <row r="528" s="35" customFormat="true" ht="14.4" hidden="false" customHeight="false" outlineLevel="0" collapsed="false">
      <c r="B528" s="199"/>
    </row>
    <row r="529" s="35" customFormat="true" ht="14.4" hidden="false" customHeight="false" outlineLevel="0" collapsed="false">
      <c r="B529" s="199"/>
    </row>
    <row r="530" s="35" customFormat="true" ht="14.4" hidden="false" customHeight="false" outlineLevel="0" collapsed="false">
      <c r="B530" s="199"/>
    </row>
    <row r="531" s="35" customFormat="true" ht="14.4" hidden="false" customHeight="false" outlineLevel="0" collapsed="false">
      <c r="B531" s="199"/>
    </row>
    <row r="532" s="35" customFormat="true" ht="14.4" hidden="false" customHeight="false" outlineLevel="0" collapsed="false">
      <c r="B532" s="199"/>
    </row>
    <row r="533" s="35" customFormat="true" ht="14.4" hidden="false" customHeight="false" outlineLevel="0" collapsed="false">
      <c r="B533" s="199"/>
    </row>
    <row r="534" s="35" customFormat="true" ht="14.4" hidden="false" customHeight="false" outlineLevel="0" collapsed="false">
      <c r="B534" s="199"/>
    </row>
    <row r="535" s="35" customFormat="true" ht="14.4" hidden="false" customHeight="false" outlineLevel="0" collapsed="false">
      <c r="B535" s="199"/>
    </row>
    <row r="536" s="35" customFormat="true" ht="14.4" hidden="false" customHeight="false" outlineLevel="0" collapsed="false">
      <c r="B536" s="199"/>
    </row>
    <row r="537" s="35" customFormat="true" ht="14.4" hidden="false" customHeight="false" outlineLevel="0" collapsed="false">
      <c r="B537" s="199"/>
    </row>
    <row r="538" s="35" customFormat="true" ht="14.4" hidden="false" customHeight="false" outlineLevel="0" collapsed="false">
      <c r="B538" s="199"/>
    </row>
    <row r="539" s="35" customFormat="true" ht="14.4" hidden="false" customHeight="false" outlineLevel="0" collapsed="false">
      <c r="B539" s="199"/>
    </row>
    <row r="540" s="35" customFormat="true" ht="14.4" hidden="false" customHeight="false" outlineLevel="0" collapsed="false">
      <c r="B540" s="199"/>
    </row>
    <row r="541" s="35" customFormat="true" ht="14.4" hidden="false" customHeight="false" outlineLevel="0" collapsed="false">
      <c r="B541" s="199"/>
    </row>
    <row r="542" s="35" customFormat="true" ht="14.4" hidden="false" customHeight="false" outlineLevel="0" collapsed="false">
      <c r="B542" s="199"/>
    </row>
    <row r="543" s="35" customFormat="true" ht="14.4" hidden="false" customHeight="false" outlineLevel="0" collapsed="false">
      <c r="B543" s="199"/>
    </row>
    <row r="544" s="35" customFormat="true" ht="14.4" hidden="false" customHeight="false" outlineLevel="0" collapsed="false">
      <c r="B544" s="199"/>
    </row>
    <row r="545" s="35" customFormat="true" ht="14.4" hidden="false" customHeight="false" outlineLevel="0" collapsed="false">
      <c r="B545" s="199"/>
    </row>
    <row r="546" s="35" customFormat="true" ht="14.4" hidden="false" customHeight="false" outlineLevel="0" collapsed="false">
      <c r="B546" s="199"/>
    </row>
    <row r="547" s="35" customFormat="true" ht="14.4" hidden="false" customHeight="false" outlineLevel="0" collapsed="false">
      <c r="B547" s="199"/>
    </row>
    <row r="548" s="35" customFormat="true" ht="14.4" hidden="false" customHeight="false" outlineLevel="0" collapsed="false">
      <c r="B548" s="199"/>
    </row>
    <row r="549" s="35" customFormat="true" ht="14.4" hidden="false" customHeight="false" outlineLevel="0" collapsed="false">
      <c r="B549" s="199"/>
    </row>
    <row r="550" s="35" customFormat="true" ht="14.4" hidden="false" customHeight="false" outlineLevel="0" collapsed="false">
      <c r="B550" s="199"/>
    </row>
    <row r="551" s="35" customFormat="true" ht="14.4" hidden="false" customHeight="false" outlineLevel="0" collapsed="false">
      <c r="B551" s="199"/>
    </row>
    <row r="552" s="35" customFormat="true" ht="14.4" hidden="false" customHeight="false" outlineLevel="0" collapsed="false">
      <c r="B552" s="199"/>
    </row>
    <row r="553" s="35" customFormat="true" ht="14.4" hidden="false" customHeight="false" outlineLevel="0" collapsed="false">
      <c r="B553" s="199"/>
    </row>
    <row r="554" s="35" customFormat="true" ht="14.4" hidden="false" customHeight="false" outlineLevel="0" collapsed="false">
      <c r="B554" s="199"/>
    </row>
    <row r="555" s="35" customFormat="true" ht="14.4" hidden="false" customHeight="false" outlineLevel="0" collapsed="false">
      <c r="B555" s="199"/>
    </row>
    <row r="556" s="35" customFormat="true" ht="14.4" hidden="false" customHeight="false" outlineLevel="0" collapsed="false">
      <c r="B556" s="199"/>
    </row>
    <row r="557" s="35" customFormat="true" ht="14.4" hidden="false" customHeight="false" outlineLevel="0" collapsed="false">
      <c r="B557" s="199"/>
    </row>
    <row r="558" s="35" customFormat="true" ht="14.4" hidden="false" customHeight="false" outlineLevel="0" collapsed="false">
      <c r="B558" s="199"/>
    </row>
    <row r="559" s="35" customFormat="true" ht="14.4" hidden="false" customHeight="false" outlineLevel="0" collapsed="false">
      <c r="B559" s="199"/>
    </row>
    <row r="560" s="35" customFormat="true" ht="14.4" hidden="false" customHeight="false" outlineLevel="0" collapsed="false">
      <c r="B560" s="199"/>
    </row>
    <row r="561" s="35" customFormat="true" ht="14.4" hidden="false" customHeight="false" outlineLevel="0" collapsed="false">
      <c r="B561" s="199"/>
    </row>
    <row r="562" s="35" customFormat="true" ht="14.4" hidden="false" customHeight="false" outlineLevel="0" collapsed="false">
      <c r="B562" s="199"/>
    </row>
    <row r="563" s="35" customFormat="true" ht="14.4" hidden="false" customHeight="false" outlineLevel="0" collapsed="false">
      <c r="B563" s="199"/>
    </row>
    <row r="564" s="35" customFormat="true" ht="14.4" hidden="false" customHeight="false" outlineLevel="0" collapsed="false">
      <c r="B564" s="199"/>
    </row>
    <row r="565" s="35" customFormat="true" ht="14.4" hidden="false" customHeight="false" outlineLevel="0" collapsed="false">
      <c r="B565" s="199"/>
    </row>
    <row r="566" s="35" customFormat="true" ht="14.4" hidden="false" customHeight="false" outlineLevel="0" collapsed="false">
      <c r="B566" s="199"/>
    </row>
    <row r="567" s="35" customFormat="true" ht="14.4" hidden="false" customHeight="false" outlineLevel="0" collapsed="false">
      <c r="B567" s="199"/>
    </row>
    <row r="568" s="35" customFormat="true" ht="14.4" hidden="false" customHeight="false" outlineLevel="0" collapsed="false">
      <c r="B568" s="199"/>
    </row>
    <row r="569" s="35" customFormat="true" ht="14.4" hidden="false" customHeight="false" outlineLevel="0" collapsed="false">
      <c r="B569" s="199"/>
    </row>
    <row r="570" s="35" customFormat="true" ht="14.4" hidden="false" customHeight="false" outlineLevel="0" collapsed="false">
      <c r="B570" s="199"/>
    </row>
    <row r="571" s="35" customFormat="true" ht="14.4" hidden="false" customHeight="false" outlineLevel="0" collapsed="false">
      <c r="B571" s="199"/>
    </row>
    <row r="572" s="35" customFormat="true" ht="14.4" hidden="false" customHeight="false" outlineLevel="0" collapsed="false">
      <c r="B572" s="199"/>
    </row>
    <row r="573" s="35" customFormat="true" ht="14.4" hidden="false" customHeight="false" outlineLevel="0" collapsed="false">
      <c r="B573" s="199"/>
    </row>
    <row r="574" s="35" customFormat="true" ht="14.4" hidden="false" customHeight="false" outlineLevel="0" collapsed="false">
      <c r="B574" s="199"/>
    </row>
    <row r="575" s="35" customFormat="true" ht="14.4" hidden="false" customHeight="false" outlineLevel="0" collapsed="false">
      <c r="B575" s="199"/>
    </row>
    <row r="576" s="35" customFormat="true" ht="14.4" hidden="false" customHeight="false" outlineLevel="0" collapsed="false">
      <c r="B576" s="199"/>
    </row>
    <row r="577" s="35" customFormat="true" ht="14.4" hidden="false" customHeight="false" outlineLevel="0" collapsed="false">
      <c r="B577" s="199"/>
    </row>
    <row r="578" s="35" customFormat="true" ht="14.4" hidden="false" customHeight="false" outlineLevel="0" collapsed="false">
      <c r="B578" s="199"/>
    </row>
    <row r="579" s="35" customFormat="true" ht="14.4" hidden="false" customHeight="false" outlineLevel="0" collapsed="false">
      <c r="B579" s="199"/>
    </row>
    <row r="580" s="35" customFormat="true" ht="14.4" hidden="false" customHeight="false" outlineLevel="0" collapsed="false">
      <c r="B580" s="199"/>
    </row>
    <row r="581" s="35" customFormat="true" ht="14.4" hidden="false" customHeight="false" outlineLevel="0" collapsed="false">
      <c r="B581" s="199"/>
    </row>
    <row r="582" s="35" customFormat="true" ht="14.4" hidden="false" customHeight="false" outlineLevel="0" collapsed="false">
      <c r="B582" s="199"/>
    </row>
    <row r="583" s="35" customFormat="true" ht="14.4" hidden="false" customHeight="false" outlineLevel="0" collapsed="false">
      <c r="B583" s="199"/>
    </row>
    <row r="584" s="35" customFormat="true" ht="14.4" hidden="false" customHeight="false" outlineLevel="0" collapsed="false">
      <c r="B584" s="199"/>
    </row>
    <row r="585" s="35" customFormat="true" ht="14.4" hidden="false" customHeight="false" outlineLevel="0" collapsed="false">
      <c r="B585" s="199"/>
    </row>
    <row r="586" s="35" customFormat="true" ht="14.4" hidden="false" customHeight="false" outlineLevel="0" collapsed="false">
      <c r="B586" s="199"/>
    </row>
    <row r="587" s="35" customFormat="true" ht="14.4" hidden="false" customHeight="false" outlineLevel="0" collapsed="false">
      <c r="B587" s="199"/>
    </row>
    <row r="588" s="35" customFormat="true" ht="14.4" hidden="false" customHeight="false" outlineLevel="0" collapsed="false">
      <c r="B588" s="199"/>
    </row>
    <row r="589" s="35" customFormat="true" ht="14.4" hidden="false" customHeight="false" outlineLevel="0" collapsed="false">
      <c r="B589" s="199"/>
    </row>
    <row r="590" s="35" customFormat="true" ht="14.4" hidden="false" customHeight="false" outlineLevel="0" collapsed="false">
      <c r="B590" s="199"/>
    </row>
    <row r="591" s="35" customFormat="true" ht="14.4" hidden="false" customHeight="false" outlineLevel="0" collapsed="false">
      <c r="B591" s="199"/>
    </row>
    <row r="592" s="35" customFormat="true" ht="14.4" hidden="false" customHeight="false" outlineLevel="0" collapsed="false">
      <c r="B592" s="199"/>
    </row>
    <row r="593" s="35" customFormat="true" ht="14.4" hidden="false" customHeight="false" outlineLevel="0" collapsed="false">
      <c r="B593" s="199"/>
    </row>
    <row r="594" s="35" customFormat="true" ht="14.4" hidden="false" customHeight="false" outlineLevel="0" collapsed="false">
      <c r="B594" s="199"/>
    </row>
    <row r="595" s="35" customFormat="true" ht="14.4" hidden="false" customHeight="false" outlineLevel="0" collapsed="false">
      <c r="B595" s="199"/>
    </row>
    <row r="596" s="35" customFormat="true" ht="14.4" hidden="false" customHeight="false" outlineLevel="0" collapsed="false">
      <c r="B596" s="199"/>
    </row>
    <row r="597" s="35" customFormat="true" ht="14.4" hidden="false" customHeight="false" outlineLevel="0" collapsed="false">
      <c r="B597" s="199"/>
    </row>
    <row r="598" s="35" customFormat="true" ht="14.4" hidden="false" customHeight="false" outlineLevel="0" collapsed="false">
      <c r="B598" s="199"/>
    </row>
    <row r="599" s="35" customFormat="true" ht="14.4" hidden="false" customHeight="false" outlineLevel="0" collapsed="false">
      <c r="B599" s="199"/>
    </row>
    <row r="600" s="35" customFormat="true" ht="14.4" hidden="false" customHeight="false" outlineLevel="0" collapsed="false">
      <c r="B600" s="199"/>
    </row>
    <row r="601" s="35" customFormat="true" ht="14.4" hidden="false" customHeight="false" outlineLevel="0" collapsed="false">
      <c r="B601" s="199"/>
    </row>
    <row r="602" s="35" customFormat="true" ht="14.4" hidden="false" customHeight="false" outlineLevel="0" collapsed="false">
      <c r="B602" s="199"/>
    </row>
    <row r="603" s="35" customFormat="true" ht="14.4" hidden="false" customHeight="false" outlineLevel="0" collapsed="false">
      <c r="B603" s="199"/>
    </row>
    <row r="604" s="35" customFormat="true" ht="14.4" hidden="false" customHeight="false" outlineLevel="0" collapsed="false">
      <c r="B604" s="199"/>
    </row>
    <row r="605" s="35" customFormat="true" ht="14.4" hidden="false" customHeight="false" outlineLevel="0" collapsed="false">
      <c r="B605" s="199"/>
    </row>
    <row r="606" s="35" customFormat="true" ht="14.4" hidden="false" customHeight="false" outlineLevel="0" collapsed="false">
      <c r="B606" s="199"/>
    </row>
    <row r="607" s="35" customFormat="true" ht="14.4" hidden="false" customHeight="false" outlineLevel="0" collapsed="false">
      <c r="B607" s="199"/>
    </row>
    <row r="608" s="35" customFormat="true" ht="14.4" hidden="false" customHeight="false" outlineLevel="0" collapsed="false">
      <c r="B608" s="199"/>
    </row>
    <row r="609" s="35" customFormat="true" ht="14.4" hidden="false" customHeight="false" outlineLevel="0" collapsed="false">
      <c r="B609" s="199"/>
    </row>
    <row r="610" s="35" customFormat="true" ht="14.4" hidden="false" customHeight="false" outlineLevel="0" collapsed="false">
      <c r="B610" s="199"/>
    </row>
    <row r="611" s="35" customFormat="true" ht="14.4" hidden="false" customHeight="false" outlineLevel="0" collapsed="false">
      <c r="B611" s="199"/>
    </row>
    <row r="612" s="35" customFormat="true" ht="14.4" hidden="false" customHeight="false" outlineLevel="0" collapsed="false">
      <c r="B612" s="199"/>
    </row>
    <row r="613" s="35" customFormat="true" ht="14.4" hidden="false" customHeight="false" outlineLevel="0" collapsed="false">
      <c r="B613" s="199"/>
    </row>
    <row r="614" s="35" customFormat="true" ht="14.4" hidden="false" customHeight="false" outlineLevel="0" collapsed="false">
      <c r="B614" s="199"/>
    </row>
    <row r="615" s="35" customFormat="true" ht="14.4" hidden="false" customHeight="false" outlineLevel="0" collapsed="false">
      <c r="B615" s="199"/>
    </row>
    <row r="616" s="35" customFormat="true" ht="14.4" hidden="false" customHeight="false" outlineLevel="0" collapsed="false">
      <c r="B616" s="199"/>
    </row>
    <row r="617" s="35" customFormat="true" ht="14.4" hidden="false" customHeight="false" outlineLevel="0" collapsed="false">
      <c r="B617" s="199"/>
    </row>
    <row r="618" s="35" customFormat="true" ht="14.4" hidden="false" customHeight="false" outlineLevel="0" collapsed="false">
      <c r="B618" s="199"/>
    </row>
    <row r="619" s="35" customFormat="true" ht="14.4" hidden="false" customHeight="false" outlineLevel="0" collapsed="false">
      <c r="B619" s="199"/>
    </row>
    <row r="620" s="35" customFormat="true" ht="14.4" hidden="false" customHeight="false" outlineLevel="0" collapsed="false">
      <c r="B620" s="199"/>
    </row>
    <row r="621" s="35" customFormat="true" ht="14.4" hidden="false" customHeight="false" outlineLevel="0" collapsed="false">
      <c r="B621" s="199"/>
    </row>
    <row r="622" s="35" customFormat="true" ht="14.4" hidden="false" customHeight="false" outlineLevel="0" collapsed="false">
      <c r="B622" s="199"/>
    </row>
    <row r="623" s="35" customFormat="true" ht="14.4" hidden="false" customHeight="false" outlineLevel="0" collapsed="false">
      <c r="B623" s="199"/>
    </row>
    <row r="624" s="35" customFormat="true" ht="14.4" hidden="false" customHeight="false" outlineLevel="0" collapsed="false">
      <c r="B624" s="199"/>
    </row>
    <row r="625" s="35" customFormat="true" ht="14.4" hidden="false" customHeight="false" outlineLevel="0" collapsed="false">
      <c r="B625" s="199"/>
    </row>
    <row r="626" s="35" customFormat="true" ht="14.4" hidden="false" customHeight="false" outlineLevel="0" collapsed="false">
      <c r="B626" s="199"/>
    </row>
    <row r="627" s="35" customFormat="true" ht="14.4" hidden="false" customHeight="false" outlineLevel="0" collapsed="false">
      <c r="B627" s="199"/>
    </row>
    <row r="628" s="35" customFormat="true" ht="14.4" hidden="false" customHeight="false" outlineLevel="0" collapsed="false">
      <c r="B628" s="199"/>
    </row>
    <row r="629" s="35" customFormat="true" ht="14.4" hidden="false" customHeight="false" outlineLevel="0" collapsed="false">
      <c r="B629" s="199"/>
    </row>
    <row r="630" s="35" customFormat="true" ht="14.4" hidden="false" customHeight="false" outlineLevel="0" collapsed="false">
      <c r="B630" s="199"/>
    </row>
    <row r="631" s="35" customFormat="true" ht="14.4" hidden="false" customHeight="false" outlineLevel="0" collapsed="false">
      <c r="B631" s="199"/>
    </row>
    <row r="632" s="35" customFormat="true" ht="14.4" hidden="false" customHeight="false" outlineLevel="0" collapsed="false">
      <c r="B632" s="199"/>
    </row>
    <row r="633" s="35" customFormat="true" ht="14.4" hidden="false" customHeight="false" outlineLevel="0" collapsed="false">
      <c r="B633" s="199"/>
    </row>
    <row r="634" s="35" customFormat="true" ht="14.4" hidden="false" customHeight="false" outlineLevel="0" collapsed="false">
      <c r="B634" s="199"/>
    </row>
    <row r="635" s="35" customFormat="true" ht="14.4" hidden="false" customHeight="false" outlineLevel="0" collapsed="false">
      <c r="B635" s="199"/>
    </row>
    <row r="636" s="35" customFormat="true" ht="14.4" hidden="false" customHeight="false" outlineLevel="0" collapsed="false">
      <c r="B636" s="199"/>
    </row>
    <row r="637" s="35" customFormat="true" ht="14.4" hidden="false" customHeight="false" outlineLevel="0" collapsed="false">
      <c r="B637" s="199"/>
    </row>
    <row r="638" s="35" customFormat="true" ht="14.4" hidden="false" customHeight="false" outlineLevel="0" collapsed="false">
      <c r="B638" s="199"/>
    </row>
    <row r="639" s="35" customFormat="true" ht="14.4" hidden="false" customHeight="false" outlineLevel="0" collapsed="false">
      <c r="B639" s="199"/>
    </row>
    <row r="640" s="35" customFormat="true" ht="14.4" hidden="false" customHeight="false" outlineLevel="0" collapsed="false">
      <c r="B640" s="199"/>
    </row>
    <row r="641" s="35" customFormat="true" ht="14.4" hidden="false" customHeight="false" outlineLevel="0" collapsed="false">
      <c r="B641" s="199"/>
    </row>
    <row r="642" s="35" customFormat="true" ht="14.4" hidden="false" customHeight="false" outlineLevel="0" collapsed="false">
      <c r="B642" s="199"/>
    </row>
    <row r="643" s="35" customFormat="true" ht="14.4" hidden="false" customHeight="false" outlineLevel="0" collapsed="false">
      <c r="B643" s="199"/>
    </row>
    <row r="644" s="35" customFormat="true" ht="14.4" hidden="false" customHeight="false" outlineLevel="0" collapsed="false">
      <c r="B644" s="199"/>
    </row>
    <row r="645" s="35" customFormat="true" ht="14.4" hidden="false" customHeight="false" outlineLevel="0" collapsed="false">
      <c r="B645" s="199"/>
    </row>
    <row r="646" s="35" customFormat="true" ht="14.4" hidden="false" customHeight="false" outlineLevel="0" collapsed="false">
      <c r="B646" s="199"/>
    </row>
    <row r="647" s="35" customFormat="true" ht="14.4" hidden="false" customHeight="false" outlineLevel="0" collapsed="false">
      <c r="B647" s="199"/>
    </row>
    <row r="648" s="35" customFormat="true" ht="14.4" hidden="false" customHeight="false" outlineLevel="0" collapsed="false">
      <c r="B648" s="199"/>
    </row>
    <row r="649" s="35" customFormat="true" ht="14.4" hidden="false" customHeight="false" outlineLevel="0" collapsed="false">
      <c r="B649" s="199"/>
    </row>
    <row r="650" s="35" customFormat="true" ht="14.4" hidden="false" customHeight="false" outlineLevel="0" collapsed="false">
      <c r="B650" s="199"/>
    </row>
    <row r="651" s="35" customFormat="true" ht="14.4" hidden="false" customHeight="false" outlineLevel="0" collapsed="false">
      <c r="B651" s="199"/>
    </row>
    <row r="652" s="35" customFormat="true" ht="14.4" hidden="false" customHeight="false" outlineLevel="0" collapsed="false">
      <c r="B652" s="199"/>
    </row>
    <row r="653" s="35" customFormat="true" ht="14.4" hidden="false" customHeight="false" outlineLevel="0" collapsed="false">
      <c r="B653" s="199"/>
    </row>
    <row r="654" s="35" customFormat="true" ht="14.4" hidden="false" customHeight="false" outlineLevel="0" collapsed="false">
      <c r="B654" s="199"/>
    </row>
    <row r="655" s="35" customFormat="true" ht="14.4" hidden="false" customHeight="false" outlineLevel="0" collapsed="false">
      <c r="B655" s="199"/>
    </row>
    <row r="656" s="35" customFormat="true" ht="14.4" hidden="false" customHeight="false" outlineLevel="0" collapsed="false">
      <c r="B656" s="199"/>
    </row>
    <row r="657" s="35" customFormat="true" ht="14.4" hidden="false" customHeight="false" outlineLevel="0" collapsed="false">
      <c r="B657" s="199"/>
    </row>
    <row r="658" s="35" customFormat="true" ht="14.4" hidden="false" customHeight="false" outlineLevel="0" collapsed="false">
      <c r="B658" s="199"/>
    </row>
    <row r="659" s="35" customFormat="true" ht="14.4" hidden="false" customHeight="false" outlineLevel="0" collapsed="false">
      <c r="B659" s="199"/>
    </row>
    <row r="660" s="35" customFormat="true" ht="14.4" hidden="false" customHeight="false" outlineLevel="0" collapsed="false">
      <c r="B660" s="199"/>
    </row>
    <row r="661" s="35" customFormat="true" ht="14.4" hidden="false" customHeight="false" outlineLevel="0" collapsed="false">
      <c r="B661" s="199"/>
    </row>
    <row r="662" s="35" customFormat="true" ht="14.4" hidden="false" customHeight="false" outlineLevel="0" collapsed="false">
      <c r="B662" s="199"/>
    </row>
    <row r="663" s="35" customFormat="true" ht="14.4" hidden="false" customHeight="false" outlineLevel="0" collapsed="false">
      <c r="B663" s="199"/>
    </row>
    <row r="664" s="35" customFormat="true" ht="14.4" hidden="false" customHeight="false" outlineLevel="0" collapsed="false">
      <c r="B664" s="199"/>
    </row>
    <row r="665" s="35" customFormat="true" ht="14.4" hidden="false" customHeight="false" outlineLevel="0" collapsed="false">
      <c r="B665" s="199"/>
    </row>
    <row r="666" s="35" customFormat="true" ht="14.4" hidden="false" customHeight="false" outlineLevel="0" collapsed="false">
      <c r="B666" s="199"/>
    </row>
    <row r="667" s="35" customFormat="true" ht="14.4" hidden="false" customHeight="false" outlineLevel="0" collapsed="false">
      <c r="B667" s="199"/>
    </row>
    <row r="668" s="35" customFormat="true" ht="14.4" hidden="false" customHeight="false" outlineLevel="0" collapsed="false">
      <c r="B668" s="199"/>
    </row>
    <row r="669" s="35" customFormat="true" ht="14.4" hidden="false" customHeight="false" outlineLevel="0" collapsed="false">
      <c r="B669" s="199"/>
    </row>
    <row r="670" s="35" customFormat="true" ht="14.4" hidden="false" customHeight="false" outlineLevel="0" collapsed="false">
      <c r="B670" s="199"/>
    </row>
    <row r="671" s="35" customFormat="true" ht="14.4" hidden="false" customHeight="false" outlineLevel="0" collapsed="false">
      <c r="B671" s="199"/>
    </row>
    <row r="672" s="35" customFormat="true" ht="14.4" hidden="false" customHeight="false" outlineLevel="0" collapsed="false">
      <c r="B672" s="199"/>
    </row>
    <row r="673" s="35" customFormat="true" ht="14.4" hidden="false" customHeight="false" outlineLevel="0" collapsed="false">
      <c r="B673" s="199"/>
    </row>
    <row r="674" s="35" customFormat="true" ht="14.4" hidden="false" customHeight="false" outlineLevel="0" collapsed="false">
      <c r="B674" s="199"/>
    </row>
    <row r="675" s="35" customFormat="true" ht="14.4" hidden="false" customHeight="false" outlineLevel="0" collapsed="false">
      <c r="B675" s="199"/>
    </row>
    <row r="676" s="35" customFormat="true" ht="14.4" hidden="false" customHeight="false" outlineLevel="0" collapsed="false">
      <c r="B676" s="199"/>
    </row>
    <row r="677" s="35" customFormat="true" ht="14.4" hidden="false" customHeight="false" outlineLevel="0" collapsed="false">
      <c r="B677" s="199"/>
    </row>
    <row r="678" s="35" customFormat="true" ht="14.4" hidden="false" customHeight="false" outlineLevel="0" collapsed="false">
      <c r="B678" s="199"/>
    </row>
    <row r="679" s="35" customFormat="true" ht="14.4" hidden="false" customHeight="false" outlineLevel="0" collapsed="false">
      <c r="B679" s="199"/>
    </row>
    <row r="680" s="35" customFormat="true" ht="14.4" hidden="false" customHeight="false" outlineLevel="0" collapsed="false">
      <c r="B680" s="199"/>
    </row>
    <row r="681" s="35" customFormat="true" ht="14.4" hidden="false" customHeight="false" outlineLevel="0" collapsed="false">
      <c r="B681" s="199"/>
    </row>
    <row r="682" s="35" customFormat="true" ht="14.4" hidden="false" customHeight="false" outlineLevel="0" collapsed="false">
      <c r="B682" s="199"/>
    </row>
    <row r="683" s="35" customFormat="true" ht="14.4" hidden="false" customHeight="false" outlineLevel="0" collapsed="false">
      <c r="B683" s="199"/>
    </row>
    <row r="684" s="35" customFormat="true" ht="14.4" hidden="false" customHeight="false" outlineLevel="0" collapsed="false">
      <c r="B684" s="199"/>
    </row>
    <row r="685" s="35" customFormat="true" ht="14.4" hidden="false" customHeight="false" outlineLevel="0" collapsed="false">
      <c r="B685" s="199"/>
    </row>
    <row r="686" s="35" customFormat="true" ht="14.4" hidden="false" customHeight="false" outlineLevel="0" collapsed="false">
      <c r="B686" s="199"/>
    </row>
    <row r="687" s="35" customFormat="true" ht="14.4" hidden="false" customHeight="false" outlineLevel="0" collapsed="false">
      <c r="B687" s="199"/>
    </row>
    <row r="688" s="35" customFormat="true" ht="14.4" hidden="false" customHeight="false" outlineLevel="0" collapsed="false">
      <c r="B688" s="199"/>
    </row>
    <row r="689" s="35" customFormat="true" ht="14.4" hidden="false" customHeight="false" outlineLevel="0" collapsed="false">
      <c r="B689" s="199"/>
    </row>
    <row r="690" s="35" customFormat="true" ht="14.4" hidden="false" customHeight="false" outlineLevel="0" collapsed="false">
      <c r="B690" s="199"/>
    </row>
    <row r="691" s="35" customFormat="true" ht="14.4" hidden="false" customHeight="false" outlineLevel="0" collapsed="false">
      <c r="B691" s="199"/>
    </row>
    <row r="692" s="35" customFormat="true" ht="14.4" hidden="false" customHeight="false" outlineLevel="0" collapsed="false">
      <c r="B692" s="199"/>
    </row>
    <row r="693" s="35" customFormat="true" ht="14.4" hidden="false" customHeight="false" outlineLevel="0" collapsed="false">
      <c r="B693" s="199"/>
    </row>
    <row r="694" s="35" customFormat="true" ht="14.4" hidden="false" customHeight="false" outlineLevel="0" collapsed="false">
      <c r="B694" s="199"/>
    </row>
    <row r="695" s="35" customFormat="true" ht="14.4" hidden="false" customHeight="false" outlineLevel="0" collapsed="false">
      <c r="B695" s="199"/>
    </row>
    <row r="696" s="35" customFormat="true" ht="14.4" hidden="false" customHeight="false" outlineLevel="0" collapsed="false">
      <c r="B696" s="199"/>
    </row>
    <row r="697" s="35" customFormat="true" ht="14.4" hidden="false" customHeight="false" outlineLevel="0" collapsed="false">
      <c r="B697" s="199"/>
    </row>
    <row r="698" s="35" customFormat="true" ht="14.4" hidden="false" customHeight="false" outlineLevel="0" collapsed="false">
      <c r="B698" s="199"/>
    </row>
    <row r="699" s="35" customFormat="true" ht="14.4" hidden="false" customHeight="false" outlineLevel="0" collapsed="false">
      <c r="B699" s="199"/>
    </row>
    <row r="700" s="35" customFormat="true" ht="14.4" hidden="false" customHeight="false" outlineLevel="0" collapsed="false">
      <c r="B700" s="199"/>
    </row>
    <row r="701" s="35" customFormat="true" ht="14.4" hidden="false" customHeight="false" outlineLevel="0" collapsed="false">
      <c r="B701" s="199"/>
    </row>
    <row r="702" s="35" customFormat="true" ht="14.4" hidden="false" customHeight="false" outlineLevel="0" collapsed="false">
      <c r="B702" s="199"/>
    </row>
    <row r="703" s="35" customFormat="true" ht="14.4" hidden="false" customHeight="false" outlineLevel="0" collapsed="false">
      <c r="B703" s="199"/>
    </row>
    <row r="704" s="35" customFormat="true" ht="14.4" hidden="false" customHeight="false" outlineLevel="0" collapsed="false">
      <c r="B704" s="199"/>
    </row>
    <row r="705" s="35" customFormat="true" ht="14.4" hidden="false" customHeight="false" outlineLevel="0" collapsed="false">
      <c r="B705" s="199"/>
    </row>
    <row r="706" s="35" customFormat="true" ht="14.4" hidden="false" customHeight="false" outlineLevel="0" collapsed="false">
      <c r="B706" s="199"/>
    </row>
    <row r="707" s="35" customFormat="true" ht="14.4" hidden="false" customHeight="false" outlineLevel="0" collapsed="false">
      <c r="B707" s="199"/>
    </row>
    <row r="708" s="35" customFormat="true" ht="14.4" hidden="false" customHeight="false" outlineLevel="0" collapsed="false">
      <c r="B708" s="199"/>
    </row>
    <row r="709" s="35" customFormat="true" ht="14.4" hidden="false" customHeight="false" outlineLevel="0" collapsed="false">
      <c r="B709" s="199"/>
    </row>
    <row r="710" s="35" customFormat="true" ht="14.4" hidden="false" customHeight="false" outlineLevel="0" collapsed="false">
      <c r="B710" s="199"/>
    </row>
    <row r="711" s="35" customFormat="true" ht="14.4" hidden="false" customHeight="false" outlineLevel="0" collapsed="false">
      <c r="B711" s="199"/>
    </row>
    <row r="712" s="35" customFormat="true" ht="14.4" hidden="false" customHeight="false" outlineLevel="0" collapsed="false">
      <c r="B712" s="199"/>
    </row>
    <row r="713" s="35" customFormat="true" ht="14.4" hidden="false" customHeight="false" outlineLevel="0" collapsed="false">
      <c r="B713" s="199"/>
    </row>
    <row r="714" s="35" customFormat="true" ht="14.4" hidden="false" customHeight="false" outlineLevel="0" collapsed="false">
      <c r="B714" s="199"/>
    </row>
    <row r="715" s="35" customFormat="true" ht="14.4" hidden="false" customHeight="false" outlineLevel="0" collapsed="false">
      <c r="B715" s="199"/>
    </row>
    <row r="716" s="35" customFormat="true" ht="14.4" hidden="false" customHeight="false" outlineLevel="0" collapsed="false">
      <c r="B716" s="199"/>
    </row>
    <row r="717" s="35" customFormat="true" ht="14.4" hidden="false" customHeight="false" outlineLevel="0" collapsed="false">
      <c r="B717" s="199"/>
    </row>
    <row r="718" s="35" customFormat="true" ht="14.4" hidden="false" customHeight="false" outlineLevel="0" collapsed="false">
      <c r="B718" s="199"/>
    </row>
    <row r="719" s="35" customFormat="true" ht="14.4" hidden="false" customHeight="false" outlineLevel="0" collapsed="false">
      <c r="B719" s="199"/>
    </row>
    <row r="720" s="35" customFormat="true" ht="14.4" hidden="false" customHeight="false" outlineLevel="0" collapsed="false">
      <c r="B720" s="199"/>
    </row>
    <row r="721" s="35" customFormat="true" ht="14.4" hidden="false" customHeight="false" outlineLevel="0" collapsed="false">
      <c r="B721" s="199"/>
    </row>
    <row r="722" s="35" customFormat="true" ht="14.4" hidden="false" customHeight="false" outlineLevel="0" collapsed="false">
      <c r="B722" s="199"/>
    </row>
    <row r="723" s="35" customFormat="true" ht="14.4" hidden="false" customHeight="false" outlineLevel="0" collapsed="false">
      <c r="B723" s="199"/>
    </row>
    <row r="724" s="35" customFormat="true" ht="14.4" hidden="false" customHeight="false" outlineLevel="0" collapsed="false">
      <c r="B724" s="199"/>
    </row>
    <row r="725" s="35" customFormat="true" ht="14.4" hidden="false" customHeight="false" outlineLevel="0" collapsed="false">
      <c r="B725" s="199"/>
    </row>
    <row r="726" s="35" customFormat="true" ht="14.4" hidden="false" customHeight="false" outlineLevel="0" collapsed="false">
      <c r="B726" s="199"/>
    </row>
    <row r="727" s="35" customFormat="true" ht="14.4" hidden="false" customHeight="false" outlineLevel="0" collapsed="false">
      <c r="B727" s="199"/>
    </row>
    <row r="728" s="35" customFormat="true" ht="14.4" hidden="false" customHeight="false" outlineLevel="0" collapsed="false">
      <c r="B728" s="199"/>
    </row>
    <row r="729" s="35" customFormat="true" ht="14.4" hidden="false" customHeight="false" outlineLevel="0" collapsed="false">
      <c r="B729" s="199"/>
    </row>
    <row r="730" s="35" customFormat="true" ht="14.4" hidden="false" customHeight="false" outlineLevel="0" collapsed="false">
      <c r="B730" s="199"/>
    </row>
    <row r="731" s="35" customFormat="true" ht="14.4" hidden="false" customHeight="false" outlineLevel="0" collapsed="false">
      <c r="B731" s="199"/>
    </row>
    <row r="732" s="35" customFormat="true" ht="14.4" hidden="false" customHeight="false" outlineLevel="0" collapsed="false">
      <c r="B732" s="199"/>
    </row>
    <row r="733" s="35" customFormat="true" ht="14.4" hidden="false" customHeight="false" outlineLevel="0" collapsed="false">
      <c r="B733" s="199"/>
    </row>
    <row r="734" s="35" customFormat="true" ht="14.4" hidden="false" customHeight="false" outlineLevel="0" collapsed="false">
      <c r="B734" s="199"/>
    </row>
    <row r="735" s="35" customFormat="true" ht="14.4" hidden="false" customHeight="false" outlineLevel="0" collapsed="false">
      <c r="B735" s="199"/>
    </row>
    <row r="736" s="35" customFormat="true" ht="14.4" hidden="false" customHeight="false" outlineLevel="0" collapsed="false">
      <c r="B736" s="199"/>
    </row>
    <row r="737" s="35" customFormat="true" ht="14.4" hidden="false" customHeight="false" outlineLevel="0" collapsed="false">
      <c r="B737" s="199"/>
    </row>
    <row r="738" s="35" customFormat="true" ht="14.4" hidden="false" customHeight="false" outlineLevel="0" collapsed="false">
      <c r="B738" s="199"/>
    </row>
    <row r="739" s="35" customFormat="true" ht="14.4" hidden="false" customHeight="false" outlineLevel="0" collapsed="false">
      <c r="B739" s="199"/>
    </row>
    <row r="740" s="35" customFormat="true" ht="14.4" hidden="false" customHeight="false" outlineLevel="0" collapsed="false">
      <c r="B740" s="199"/>
    </row>
    <row r="741" s="35" customFormat="true" ht="14.4" hidden="false" customHeight="false" outlineLevel="0" collapsed="false">
      <c r="B741" s="199"/>
    </row>
    <row r="742" s="35" customFormat="true" ht="14.4" hidden="false" customHeight="false" outlineLevel="0" collapsed="false">
      <c r="B742" s="199"/>
    </row>
    <row r="743" s="35" customFormat="true" ht="14.4" hidden="false" customHeight="false" outlineLevel="0" collapsed="false">
      <c r="B743" s="199"/>
    </row>
    <row r="744" s="35" customFormat="true" ht="14.4" hidden="false" customHeight="false" outlineLevel="0" collapsed="false">
      <c r="B744" s="199"/>
    </row>
    <row r="745" s="35" customFormat="true" ht="14.4" hidden="false" customHeight="false" outlineLevel="0" collapsed="false">
      <c r="B745" s="199"/>
    </row>
    <row r="746" s="35" customFormat="true" ht="14.4" hidden="false" customHeight="false" outlineLevel="0" collapsed="false">
      <c r="B746" s="199"/>
    </row>
    <row r="747" s="35" customFormat="true" ht="14.4" hidden="false" customHeight="false" outlineLevel="0" collapsed="false">
      <c r="B747" s="199"/>
    </row>
    <row r="748" s="35" customFormat="true" ht="14.4" hidden="false" customHeight="false" outlineLevel="0" collapsed="false">
      <c r="B748" s="199"/>
    </row>
    <row r="749" s="35" customFormat="true" ht="14.4" hidden="false" customHeight="false" outlineLevel="0" collapsed="false">
      <c r="B749" s="199"/>
    </row>
    <row r="750" s="35" customFormat="true" ht="14.4" hidden="false" customHeight="false" outlineLevel="0" collapsed="false">
      <c r="B750" s="199"/>
    </row>
    <row r="751" s="35" customFormat="true" ht="14.4" hidden="false" customHeight="false" outlineLevel="0" collapsed="false">
      <c r="B751" s="199"/>
    </row>
    <row r="752" s="35" customFormat="true" ht="14.4" hidden="false" customHeight="false" outlineLevel="0" collapsed="false">
      <c r="B752" s="199"/>
    </row>
    <row r="753" s="35" customFormat="true" ht="14.4" hidden="false" customHeight="false" outlineLevel="0" collapsed="false">
      <c r="B753" s="199"/>
    </row>
    <row r="754" s="35" customFormat="true" ht="14.4" hidden="false" customHeight="false" outlineLevel="0" collapsed="false">
      <c r="B754" s="199"/>
    </row>
    <row r="755" s="35" customFormat="true" ht="14.4" hidden="false" customHeight="false" outlineLevel="0" collapsed="false">
      <c r="B755" s="199"/>
    </row>
    <row r="756" s="35" customFormat="true" ht="14.4" hidden="false" customHeight="false" outlineLevel="0" collapsed="false">
      <c r="B756" s="199"/>
    </row>
    <row r="757" s="35" customFormat="true" ht="14.4" hidden="false" customHeight="false" outlineLevel="0" collapsed="false">
      <c r="B757" s="199"/>
    </row>
    <row r="758" s="35" customFormat="true" ht="14.4" hidden="false" customHeight="false" outlineLevel="0" collapsed="false">
      <c r="B758" s="199"/>
    </row>
    <row r="759" s="35" customFormat="true" ht="14.4" hidden="false" customHeight="false" outlineLevel="0" collapsed="false">
      <c r="B759" s="199"/>
    </row>
    <row r="760" s="35" customFormat="true" ht="14.4" hidden="false" customHeight="false" outlineLevel="0" collapsed="false">
      <c r="B760" s="199"/>
    </row>
    <row r="761" s="35" customFormat="true" ht="14.4" hidden="false" customHeight="false" outlineLevel="0" collapsed="false">
      <c r="B761" s="199"/>
    </row>
    <row r="762" s="35" customFormat="true" ht="14.4" hidden="false" customHeight="false" outlineLevel="0" collapsed="false">
      <c r="B762" s="199"/>
    </row>
    <row r="763" s="35" customFormat="true" ht="14.4" hidden="false" customHeight="false" outlineLevel="0" collapsed="false">
      <c r="B763" s="199"/>
    </row>
    <row r="764" s="35" customFormat="true" ht="14.4" hidden="false" customHeight="false" outlineLevel="0" collapsed="false">
      <c r="B764" s="199"/>
    </row>
    <row r="765" s="35" customFormat="true" ht="14.4" hidden="false" customHeight="false" outlineLevel="0" collapsed="false">
      <c r="B765" s="199"/>
    </row>
    <row r="766" s="35" customFormat="true" ht="14.4" hidden="false" customHeight="false" outlineLevel="0" collapsed="false">
      <c r="B766" s="199"/>
    </row>
    <row r="767" s="35" customFormat="true" ht="14.4" hidden="false" customHeight="false" outlineLevel="0" collapsed="false">
      <c r="B767" s="199"/>
    </row>
    <row r="768" s="35" customFormat="true" ht="14.4" hidden="false" customHeight="false" outlineLevel="0" collapsed="false">
      <c r="B768" s="199"/>
    </row>
    <row r="769" s="35" customFormat="true" ht="14.4" hidden="false" customHeight="false" outlineLevel="0" collapsed="false">
      <c r="B769" s="199"/>
    </row>
    <row r="770" s="35" customFormat="true" ht="14.4" hidden="false" customHeight="false" outlineLevel="0" collapsed="false">
      <c r="B770" s="199"/>
    </row>
    <row r="771" s="35" customFormat="true" ht="14.4" hidden="false" customHeight="false" outlineLevel="0" collapsed="false">
      <c r="B771" s="199"/>
    </row>
    <row r="772" s="35" customFormat="true" ht="14.4" hidden="false" customHeight="false" outlineLevel="0" collapsed="false">
      <c r="B772" s="199"/>
    </row>
    <row r="773" s="35" customFormat="true" ht="14.4" hidden="false" customHeight="false" outlineLevel="0" collapsed="false">
      <c r="B773" s="199"/>
    </row>
    <row r="774" s="35" customFormat="true" ht="14.4" hidden="false" customHeight="false" outlineLevel="0" collapsed="false">
      <c r="B774" s="199"/>
    </row>
    <row r="775" s="35" customFormat="true" ht="14.4" hidden="false" customHeight="false" outlineLevel="0" collapsed="false">
      <c r="B775" s="199"/>
    </row>
    <row r="776" s="35" customFormat="true" ht="14.4" hidden="false" customHeight="false" outlineLevel="0" collapsed="false">
      <c r="B776" s="199"/>
    </row>
    <row r="777" s="35" customFormat="true" ht="14.4" hidden="false" customHeight="false" outlineLevel="0" collapsed="false">
      <c r="B777" s="199"/>
    </row>
    <row r="778" s="35" customFormat="true" ht="14.4" hidden="false" customHeight="false" outlineLevel="0" collapsed="false">
      <c r="B778" s="199"/>
    </row>
    <row r="779" s="35" customFormat="true" ht="14.4" hidden="false" customHeight="false" outlineLevel="0" collapsed="false">
      <c r="B779" s="199"/>
    </row>
    <row r="780" s="35" customFormat="true" ht="14.4" hidden="false" customHeight="false" outlineLevel="0" collapsed="false">
      <c r="B780" s="199"/>
    </row>
    <row r="781" s="35" customFormat="true" ht="14.4" hidden="false" customHeight="false" outlineLevel="0" collapsed="false">
      <c r="B781" s="199"/>
    </row>
    <row r="782" s="35" customFormat="true" ht="14.4" hidden="false" customHeight="false" outlineLevel="0" collapsed="false">
      <c r="B782" s="199"/>
    </row>
    <row r="783" s="35" customFormat="true" ht="14.4" hidden="false" customHeight="false" outlineLevel="0" collapsed="false">
      <c r="B783" s="199"/>
    </row>
    <row r="784" s="35" customFormat="true" ht="14.4" hidden="false" customHeight="false" outlineLevel="0" collapsed="false">
      <c r="B784" s="199"/>
    </row>
    <row r="785" s="35" customFormat="true" ht="14.4" hidden="false" customHeight="false" outlineLevel="0" collapsed="false">
      <c r="B785" s="199"/>
    </row>
    <row r="786" s="35" customFormat="true" ht="14.4" hidden="false" customHeight="false" outlineLevel="0" collapsed="false">
      <c r="B786" s="199"/>
    </row>
    <row r="787" s="35" customFormat="true" ht="14.4" hidden="false" customHeight="false" outlineLevel="0" collapsed="false">
      <c r="B787" s="199"/>
    </row>
    <row r="788" s="35" customFormat="true" ht="14.4" hidden="false" customHeight="false" outlineLevel="0" collapsed="false">
      <c r="B788" s="199"/>
    </row>
    <row r="789" s="35" customFormat="true" ht="14.4" hidden="false" customHeight="false" outlineLevel="0" collapsed="false">
      <c r="B789" s="199"/>
    </row>
    <row r="790" s="35" customFormat="true" ht="14.4" hidden="false" customHeight="false" outlineLevel="0" collapsed="false">
      <c r="B790" s="199"/>
    </row>
    <row r="791" s="35" customFormat="true" ht="14.4" hidden="false" customHeight="false" outlineLevel="0" collapsed="false">
      <c r="B791" s="199"/>
    </row>
    <row r="792" s="35" customFormat="true" ht="14.4" hidden="false" customHeight="false" outlineLevel="0" collapsed="false">
      <c r="B792" s="199"/>
    </row>
    <row r="793" s="35" customFormat="true" ht="14.4" hidden="false" customHeight="false" outlineLevel="0" collapsed="false">
      <c r="B793" s="199"/>
    </row>
    <row r="794" s="35" customFormat="true" ht="14.4" hidden="false" customHeight="false" outlineLevel="0" collapsed="false">
      <c r="B794" s="199"/>
    </row>
    <row r="795" s="35" customFormat="true" ht="14.4" hidden="false" customHeight="false" outlineLevel="0" collapsed="false">
      <c r="B795" s="199"/>
    </row>
    <row r="796" s="35" customFormat="true" ht="14.4" hidden="false" customHeight="false" outlineLevel="0" collapsed="false">
      <c r="B796" s="199"/>
    </row>
    <row r="797" s="35" customFormat="true" ht="14.4" hidden="false" customHeight="false" outlineLevel="0" collapsed="false">
      <c r="B797" s="199"/>
    </row>
    <row r="798" s="35" customFormat="true" ht="14.4" hidden="false" customHeight="false" outlineLevel="0" collapsed="false">
      <c r="B798" s="199"/>
    </row>
    <row r="799" s="35" customFormat="true" ht="14.4" hidden="false" customHeight="false" outlineLevel="0" collapsed="false">
      <c r="B799" s="199"/>
    </row>
    <row r="800" s="35" customFormat="true" ht="14.4" hidden="false" customHeight="false" outlineLevel="0" collapsed="false">
      <c r="B800" s="199"/>
    </row>
    <row r="801" s="35" customFormat="true" ht="14.4" hidden="false" customHeight="false" outlineLevel="0" collapsed="false">
      <c r="B801" s="199"/>
    </row>
    <row r="802" s="35" customFormat="true" ht="14.4" hidden="false" customHeight="false" outlineLevel="0" collapsed="false">
      <c r="B802" s="199"/>
    </row>
    <row r="803" s="35" customFormat="true" ht="14.4" hidden="false" customHeight="false" outlineLevel="0" collapsed="false">
      <c r="B803" s="199"/>
    </row>
    <row r="804" s="35" customFormat="true" ht="14.4" hidden="false" customHeight="false" outlineLevel="0" collapsed="false">
      <c r="B804" s="199"/>
    </row>
    <row r="805" s="35" customFormat="true" ht="14.4" hidden="false" customHeight="false" outlineLevel="0" collapsed="false">
      <c r="B805" s="199"/>
    </row>
    <row r="806" s="35" customFormat="true" ht="14.4" hidden="false" customHeight="false" outlineLevel="0" collapsed="false">
      <c r="B806" s="199"/>
    </row>
    <row r="807" s="35" customFormat="true" ht="14.4" hidden="false" customHeight="false" outlineLevel="0" collapsed="false">
      <c r="B807" s="199"/>
    </row>
    <row r="808" s="35" customFormat="true" ht="14.4" hidden="false" customHeight="false" outlineLevel="0" collapsed="false">
      <c r="B808" s="199"/>
    </row>
    <row r="809" s="35" customFormat="true" ht="14.4" hidden="false" customHeight="false" outlineLevel="0" collapsed="false">
      <c r="B809" s="199"/>
    </row>
    <row r="810" s="35" customFormat="true" ht="14.4" hidden="false" customHeight="false" outlineLevel="0" collapsed="false">
      <c r="B810" s="199"/>
    </row>
    <row r="811" s="35" customFormat="true" ht="14.4" hidden="false" customHeight="false" outlineLevel="0" collapsed="false">
      <c r="B811" s="199"/>
    </row>
    <row r="812" s="35" customFormat="true" ht="14.4" hidden="false" customHeight="false" outlineLevel="0" collapsed="false">
      <c r="B812" s="199"/>
    </row>
    <row r="813" s="35" customFormat="true" ht="14.4" hidden="false" customHeight="false" outlineLevel="0" collapsed="false">
      <c r="B813" s="199"/>
    </row>
    <row r="814" s="35" customFormat="true" ht="14.4" hidden="false" customHeight="false" outlineLevel="0" collapsed="false">
      <c r="B814" s="199"/>
    </row>
    <row r="815" s="35" customFormat="true" ht="14.4" hidden="false" customHeight="false" outlineLevel="0" collapsed="false">
      <c r="B815" s="199"/>
    </row>
    <row r="816" s="35" customFormat="true" ht="14.4" hidden="false" customHeight="false" outlineLevel="0" collapsed="false">
      <c r="B816" s="199"/>
    </row>
    <row r="817" s="35" customFormat="true" ht="14.4" hidden="false" customHeight="false" outlineLevel="0" collapsed="false">
      <c r="B817" s="199"/>
    </row>
    <row r="818" s="35" customFormat="true" ht="14.4" hidden="false" customHeight="false" outlineLevel="0" collapsed="false">
      <c r="B818" s="199"/>
    </row>
    <row r="819" s="35" customFormat="true" ht="14.4" hidden="false" customHeight="false" outlineLevel="0" collapsed="false">
      <c r="B819" s="199"/>
    </row>
    <row r="820" s="35" customFormat="true" ht="14.4" hidden="false" customHeight="false" outlineLevel="0" collapsed="false">
      <c r="B820" s="199"/>
    </row>
    <row r="821" s="35" customFormat="true" ht="14.4" hidden="false" customHeight="false" outlineLevel="0" collapsed="false">
      <c r="B821" s="199"/>
    </row>
    <row r="822" s="35" customFormat="true" ht="14.4" hidden="false" customHeight="false" outlineLevel="0" collapsed="false">
      <c r="B822" s="199"/>
    </row>
    <row r="823" s="35" customFormat="true" ht="14.4" hidden="false" customHeight="false" outlineLevel="0" collapsed="false">
      <c r="B823" s="199"/>
    </row>
    <row r="824" s="35" customFormat="true" ht="14.4" hidden="false" customHeight="false" outlineLevel="0" collapsed="false">
      <c r="B824" s="199"/>
    </row>
    <row r="825" s="35" customFormat="true" ht="14.4" hidden="false" customHeight="false" outlineLevel="0" collapsed="false">
      <c r="B825" s="199"/>
    </row>
    <row r="826" s="35" customFormat="true" ht="14.4" hidden="false" customHeight="false" outlineLevel="0" collapsed="false">
      <c r="B826" s="199"/>
    </row>
    <row r="827" s="35" customFormat="true" ht="14.4" hidden="false" customHeight="false" outlineLevel="0" collapsed="false">
      <c r="B827" s="199"/>
    </row>
    <row r="828" s="35" customFormat="true" ht="14.4" hidden="false" customHeight="false" outlineLevel="0" collapsed="false">
      <c r="B828" s="199"/>
    </row>
    <row r="829" s="35" customFormat="true" ht="14.4" hidden="false" customHeight="false" outlineLevel="0" collapsed="false">
      <c r="B829" s="199"/>
    </row>
    <row r="830" s="35" customFormat="true" ht="14.4" hidden="false" customHeight="false" outlineLevel="0" collapsed="false">
      <c r="B830" s="199"/>
    </row>
    <row r="831" s="35" customFormat="true" ht="14.4" hidden="false" customHeight="false" outlineLevel="0" collapsed="false">
      <c r="B831" s="199"/>
    </row>
    <row r="832" s="35" customFormat="true" ht="14.4" hidden="false" customHeight="false" outlineLevel="0" collapsed="false">
      <c r="B832" s="199"/>
    </row>
    <row r="833" s="35" customFormat="true" ht="14.4" hidden="false" customHeight="false" outlineLevel="0" collapsed="false">
      <c r="B833" s="199"/>
    </row>
    <row r="834" s="35" customFormat="true" ht="14.4" hidden="false" customHeight="false" outlineLevel="0" collapsed="false">
      <c r="B834" s="199"/>
    </row>
    <row r="835" s="35" customFormat="true" ht="14.4" hidden="false" customHeight="false" outlineLevel="0" collapsed="false">
      <c r="B835" s="199"/>
    </row>
    <row r="836" s="35" customFormat="true" ht="14.4" hidden="false" customHeight="false" outlineLevel="0" collapsed="false">
      <c r="B836" s="199"/>
    </row>
    <row r="837" s="35" customFormat="true" ht="14.4" hidden="false" customHeight="false" outlineLevel="0" collapsed="false">
      <c r="B837" s="199"/>
    </row>
    <row r="838" s="35" customFormat="true" ht="14.4" hidden="false" customHeight="false" outlineLevel="0" collapsed="false">
      <c r="B838" s="199"/>
    </row>
    <row r="839" s="35" customFormat="true" ht="14.4" hidden="false" customHeight="false" outlineLevel="0" collapsed="false">
      <c r="B839" s="199"/>
    </row>
    <row r="840" s="35" customFormat="true" ht="14.4" hidden="false" customHeight="false" outlineLevel="0" collapsed="false">
      <c r="B840" s="199"/>
    </row>
    <row r="841" s="35" customFormat="true" ht="14.4" hidden="false" customHeight="false" outlineLevel="0" collapsed="false">
      <c r="B841" s="199"/>
    </row>
    <row r="842" s="35" customFormat="true" ht="14.4" hidden="false" customHeight="false" outlineLevel="0" collapsed="false">
      <c r="B842" s="199"/>
    </row>
    <row r="843" s="35" customFormat="true" ht="14.4" hidden="false" customHeight="false" outlineLevel="0" collapsed="false">
      <c r="B843" s="199"/>
    </row>
    <row r="844" s="35" customFormat="true" ht="14.4" hidden="false" customHeight="false" outlineLevel="0" collapsed="false">
      <c r="B844" s="199"/>
    </row>
    <row r="845" s="35" customFormat="true" ht="14.4" hidden="false" customHeight="false" outlineLevel="0" collapsed="false">
      <c r="B845" s="199"/>
    </row>
    <row r="846" s="35" customFormat="true" ht="14.4" hidden="false" customHeight="false" outlineLevel="0" collapsed="false">
      <c r="B846" s="199"/>
    </row>
    <row r="847" s="35" customFormat="true" ht="14.4" hidden="false" customHeight="false" outlineLevel="0" collapsed="false">
      <c r="B847" s="199"/>
    </row>
    <row r="848" s="35" customFormat="true" ht="14.4" hidden="false" customHeight="false" outlineLevel="0" collapsed="false">
      <c r="B848" s="199"/>
    </row>
    <row r="849" s="35" customFormat="true" ht="14.4" hidden="false" customHeight="false" outlineLevel="0" collapsed="false">
      <c r="B849" s="199"/>
    </row>
    <row r="850" s="35" customFormat="true" ht="14.4" hidden="false" customHeight="false" outlineLevel="0" collapsed="false">
      <c r="B850" s="199"/>
    </row>
    <row r="851" s="35" customFormat="true" ht="14.4" hidden="false" customHeight="false" outlineLevel="0" collapsed="false">
      <c r="B851" s="199"/>
    </row>
    <row r="852" s="35" customFormat="true" ht="14.4" hidden="false" customHeight="false" outlineLevel="0" collapsed="false">
      <c r="B852" s="199"/>
    </row>
    <row r="853" s="35" customFormat="true" ht="14.4" hidden="false" customHeight="false" outlineLevel="0" collapsed="false">
      <c r="B853" s="199"/>
    </row>
    <row r="854" s="35" customFormat="true" ht="14.4" hidden="false" customHeight="false" outlineLevel="0" collapsed="false">
      <c r="B854" s="199"/>
    </row>
    <row r="855" s="35" customFormat="true" ht="14.4" hidden="false" customHeight="false" outlineLevel="0" collapsed="false">
      <c r="B855" s="199"/>
    </row>
    <row r="856" s="35" customFormat="true" ht="14.4" hidden="false" customHeight="false" outlineLevel="0" collapsed="false">
      <c r="B856" s="199"/>
    </row>
    <row r="857" s="35" customFormat="true" ht="14.4" hidden="false" customHeight="false" outlineLevel="0" collapsed="false">
      <c r="B857" s="199"/>
    </row>
    <row r="858" s="35" customFormat="true" ht="14.4" hidden="false" customHeight="false" outlineLevel="0" collapsed="false">
      <c r="B858" s="199"/>
    </row>
    <row r="859" s="35" customFormat="true" ht="14.4" hidden="false" customHeight="false" outlineLevel="0" collapsed="false">
      <c r="B859" s="199"/>
    </row>
    <row r="860" s="35" customFormat="true" ht="14.4" hidden="false" customHeight="false" outlineLevel="0" collapsed="false">
      <c r="B860" s="199"/>
    </row>
    <row r="861" s="35" customFormat="true" ht="14.4" hidden="false" customHeight="false" outlineLevel="0" collapsed="false">
      <c r="B861" s="199"/>
    </row>
    <row r="862" s="35" customFormat="true" ht="14.4" hidden="false" customHeight="false" outlineLevel="0" collapsed="false">
      <c r="B862" s="199"/>
    </row>
    <row r="863" s="35" customFormat="true" ht="14.4" hidden="false" customHeight="false" outlineLevel="0" collapsed="false">
      <c r="B863" s="199"/>
    </row>
    <row r="864" s="35" customFormat="true" ht="14.4" hidden="false" customHeight="false" outlineLevel="0" collapsed="false">
      <c r="B864" s="199"/>
    </row>
    <row r="865" s="35" customFormat="true" ht="14.4" hidden="false" customHeight="false" outlineLevel="0" collapsed="false">
      <c r="B865" s="199"/>
    </row>
    <row r="866" s="35" customFormat="true" ht="14.4" hidden="false" customHeight="false" outlineLevel="0" collapsed="false">
      <c r="B866" s="199"/>
    </row>
    <row r="867" s="35" customFormat="true" ht="14.4" hidden="false" customHeight="false" outlineLevel="0" collapsed="false">
      <c r="B867" s="199"/>
    </row>
    <row r="868" s="35" customFormat="true" ht="14.4" hidden="false" customHeight="false" outlineLevel="0" collapsed="false">
      <c r="B868" s="199"/>
    </row>
    <row r="869" s="35" customFormat="true" ht="14.4" hidden="false" customHeight="false" outlineLevel="0" collapsed="false">
      <c r="B869" s="199"/>
    </row>
    <row r="870" s="35" customFormat="true" ht="14.4" hidden="false" customHeight="false" outlineLevel="0" collapsed="false">
      <c r="B870" s="199"/>
    </row>
    <row r="871" s="35" customFormat="true" ht="14.4" hidden="false" customHeight="false" outlineLevel="0" collapsed="false">
      <c r="B871" s="199"/>
    </row>
    <row r="872" s="35" customFormat="true" ht="14.4" hidden="false" customHeight="false" outlineLevel="0" collapsed="false">
      <c r="B872" s="199"/>
    </row>
    <row r="873" s="35" customFormat="true" ht="14.4" hidden="false" customHeight="false" outlineLevel="0" collapsed="false">
      <c r="B873" s="199"/>
    </row>
    <row r="874" s="35" customFormat="true" ht="14.4" hidden="false" customHeight="false" outlineLevel="0" collapsed="false">
      <c r="B874" s="199"/>
    </row>
    <row r="875" s="35" customFormat="true" ht="14.4" hidden="false" customHeight="false" outlineLevel="0" collapsed="false">
      <c r="B875" s="199"/>
    </row>
    <row r="876" s="35" customFormat="true" ht="14.4" hidden="false" customHeight="false" outlineLevel="0" collapsed="false">
      <c r="B876" s="199"/>
    </row>
    <row r="877" s="35" customFormat="true" ht="14.4" hidden="false" customHeight="false" outlineLevel="0" collapsed="false">
      <c r="B877" s="199"/>
    </row>
    <row r="878" s="35" customFormat="true" ht="14.4" hidden="false" customHeight="false" outlineLevel="0" collapsed="false">
      <c r="B878" s="199"/>
    </row>
    <row r="879" s="35" customFormat="true" ht="14.4" hidden="false" customHeight="false" outlineLevel="0" collapsed="false">
      <c r="B879" s="199"/>
    </row>
    <row r="880" s="35" customFormat="true" ht="14.4" hidden="false" customHeight="false" outlineLevel="0" collapsed="false">
      <c r="B880" s="199"/>
    </row>
    <row r="881" s="35" customFormat="true" ht="14.4" hidden="false" customHeight="false" outlineLevel="0" collapsed="false">
      <c r="B881" s="199"/>
    </row>
    <row r="882" s="35" customFormat="true" ht="14.4" hidden="false" customHeight="false" outlineLevel="0" collapsed="false">
      <c r="B882" s="199"/>
    </row>
    <row r="883" s="35" customFormat="true" ht="14.4" hidden="false" customHeight="false" outlineLevel="0" collapsed="false">
      <c r="B883" s="199"/>
    </row>
    <row r="884" s="35" customFormat="true" ht="14.4" hidden="false" customHeight="false" outlineLevel="0" collapsed="false">
      <c r="B884" s="199"/>
    </row>
    <row r="885" s="35" customFormat="true" ht="14.4" hidden="false" customHeight="false" outlineLevel="0" collapsed="false">
      <c r="B885" s="199"/>
    </row>
    <row r="886" s="35" customFormat="true" ht="14.4" hidden="false" customHeight="false" outlineLevel="0" collapsed="false">
      <c r="B886" s="199"/>
    </row>
    <row r="887" s="35" customFormat="true" ht="14.4" hidden="false" customHeight="false" outlineLevel="0" collapsed="false">
      <c r="B887" s="199"/>
    </row>
    <row r="888" s="35" customFormat="true" ht="14.4" hidden="false" customHeight="false" outlineLevel="0" collapsed="false">
      <c r="B888" s="199"/>
    </row>
    <row r="889" s="35" customFormat="true" ht="14.4" hidden="false" customHeight="false" outlineLevel="0" collapsed="false">
      <c r="B889" s="199"/>
    </row>
    <row r="890" s="35" customFormat="true" ht="14.4" hidden="false" customHeight="false" outlineLevel="0" collapsed="false">
      <c r="B890" s="199"/>
    </row>
    <row r="891" s="35" customFormat="true" ht="14.4" hidden="false" customHeight="false" outlineLevel="0" collapsed="false">
      <c r="B891" s="199"/>
    </row>
    <row r="892" s="35" customFormat="true" ht="14.4" hidden="false" customHeight="false" outlineLevel="0" collapsed="false">
      <c r="B892" s="199"/>
    </row>
    <row r="893" s="35" customFormat="true" ht="14.4" hidden="false" customHeight="false" outlineLevel="0" collapsed="false">
      <c r="B893" s="199"/>
    </row>
    <row r="894" s="35" customFormat="true" ht="14.4" hidden="false" customHeight="false" outlineLevel="0" collapsed="false">
      <c r="B894" s="199"/>
    </row>
    <row r="895" s="35" customFormat="true" ht="14.4" hidden="false" customHeight="false" outlineLevel="0" collapsed="false">
      <c r="B895" s="199"/>
    </row>
    <row r="896" s="35" customFormat="true" ht="14.4" hidden="false" customHeight="false" outlineLevel="0" collapsed="false">
      <c r="B896" s="199"/>
    </row>
    <row r="897" s="35" customFormat="true" ht="14.4" hidden="false" customHeight="false" outlineLevel="0" collapsed="false">
      <c r="B897" s="199"/>
    </row>
    <row r="898" s="35" customFormat="true" ht="14.4" hidden="false" customHeight="false" outlineLevel="0" collapsed="false">
      <c r="B898" s="199"/>
    </row>
    <row r="899" s="35" customFormat="true" ht="14.4" hidden="false" customHeight="false" outlineLevel="0" collapsed="false">
      <c r="B899" s="199"/>
    </row>
    <row r="900" s="35" customFormat="true" ht="14.4" hidden="false" customHeight="false" outlineLevel="0" collapsed="false">
      <c r="B900" s="199"/>
    </row>
    <row r="901" s="35" customFormat="true" ht="14.4" hidden="false" customHeight="false" outlineLevel="0" collapsed="false">
      <c r="B901" s="199"/>
    </row>
    <row r="902" s="35" customFormat="true" ht="14.4" hidden="false" customHeight="false" outlineLevel="0" collapsed="false">
      <c r="B902" s="199"/>
    </row>
    <row r="903" s="35" customFormat="true" ht="14.4" hidden="false" customHeight="false" outlineLevel="0" collapsed="false">
      <c r="B903" s="199"/>
    </row>
    <row r="904" s="35" customFormat="true" ht="14.4" hidden="false" customHeight="false" outlineLevel="0" collapsed="false">
      <c r="B904" s="199"/>
    </row>
    <row r="905" s="35" customFormat="true" ht="14.4" hidden="false" customHeight="false" outlineLevel="0" collapsed="false">
      <c r="B905" s="199"/>
    </row>
    <row r="906" s="35" customFormat="true" ht="14.4" hidden="false" customHeight="false" outlineLevel="0" collapsed="false">
      <c r="B906" s="199"/>
    </row>
    <row r="907" s="35" customFormat="true" ht="14.4" hidden="false" customHeight="false" outlineLevel="0" collapsed="false">
      <c r="B907" s="199"/>
    </row>
    <row r="908" s="35" customFormat="true" ht="14.4" hidden="false" customHeight="false" outlineLevel="0" collapsed="false">
      <c r="B908" s="199"/>
    </row>
    <row r="909" s="35" customFormat="true" ht="14.4" hidden="false" customHeight="false" outlineLevel="0" collapsed="false">
      <c r="B909" s="199"/>
    </row>
    <row r="910" s="35" customFormat="true" ht="14.4" hidden="false" customHeight="false" outlineLevel="0" collapsed="false">
      <c r="B910" s="199"/>
    </row>
    <row r="911" s="35" customFormat="true" ht="14.4" hidden="false" customHeight="false" outlineLevel="0" collapsed="false">
      <c r="B911" s="199"/>
    </row>
    <row r="912" s="35" customFormat="true" ht="14.4" hidden="false" customHeight="false" outlineLevel="0" collapsed="false">
      <c r="B912" s="199"/>
    </row>
    <row r="913" s="35" customFormat="true" ht="14.4" hidden="false" customHeight="false" outlineLevel="0" collapsed="false">
      <c r="B913" s="199"/>
    </row>
    <row r="914" s="35" customFormat="true" ht="14.4" hidden="false" customHeight="false" outlineLevel="0" collapsed="false">
      <c r="B914" s="199"/>
    </row>
    <row r="915" s="35" customFormat="true" ht="14.4" hidden="false" customHeight="false" outlineLevel="0" collapsed="false">
      <c r="B915" s="199"/>
    </row>
    <row r="916" s="35" customFormat="true" ht="14.4" hidden="false" customHeight="false" outlineLevel="0" collapsed="false">
      <c r="B916" s="199"/>
    </row>
    <row r="917" s="35" customFormat="true" ht="14.4" hidden="false" customHeight="false" outlineLevel="0" collapsed="false">
      <c r="B917" s="199"/>
    </row>
    <row r="918" s="35" customFormat="true" ht="14.4" hidden="false" customHeight="false" outlineLevel="0" collapsed="false">
      <c r="B918" s="199"/>
    </row>
    <row r="919" s="35" customFormat="true" ht="14.4" hidden="false" customHeight="false" outlineLevel="0" collapsed="false">
      <c r="B919" s="199"/>
    </row>
    <row r="920" s="35" customFormat="true" ht="14.4" hidden="false" customHeight="false" outlineLevel="0" collapsed="false">
      <c r="B920" s="199"/>
    </row>
    <row r="921" s="35" customFormat="true" ht="14.4" hidden="false" customHeight="false" outlineLevel="0" collapsed="false">
      <c r="B921" s="199"/>
    </row>
    <row r="922" s="35" customFormat="true" ht="14.4" hidden="false" customHeight="false" outlineLevel="0" collapsed="false">
      <c r="B922" s="199"/>
    </row>
    <row r="923" s="35" customFormat="true" ht="14.4" hidden="false" customHeight="false" outlineLevel="0" collapsed="false">
      <c r="B923" s="199"/>
    </row>
    <row r="924" s="35" customFormat="true" ht="14.4" hidden="false" customHeight="false" outlineLevel="0" collapsed="false">
      <c r="B924" s="199"/>
    </row>
    <row r="925" s="35" customFormat="true" ht="14.4" hidden="false" customHeight="false" outlineLevel="0" collapsed="false">
      <c r="B925" s="199"/>
    </row>
    <row r="926" s="35" customFormat="true" ht="14.4" hidden="false" customHeight="false" outlineLevel="0" collapsed="false">
      <c r="B926" s="199"/>
    </row>
    <row r="927" s="35" customFormat="true" ht="14.4" hidden="false" customHeight="false" outlineLevel="0" collapsed="false">
      <c r="B927" s="199"/>
    </row>
    <row r="928" s="35" customFormat="true" ht="14.4" hidden="false" customHeight="false" outlineLevel="0" collapsed="false">
      <c r="B928" s="199"/>
    </row>
    <row r="929" s="35" customFormat="true" ht="14.4" hidden="false" customHeight="false" outlineLevel="0" collapsed="false">
      <c r="B929" s="199"/>
    </row>
    <row r="930" s="35" customFormat="true" ht="14.4" hidden="false" customHeight="false" outlineLevel="0" collapsed="false">
      <c r="B930" s="199"/>
    </row>
    <row r="931" s="35" customFormat="true" ht="14.4" hidden="false" customHeight="false" outlineLevel="0" collapsed="false">
      <c r="B931" s="199"/>
    </row>
    <row r="932" s="35" customFormat="true" ht="14.4" hidden="false" customHeight="false" outlineLevel="0" collapsed="false">
      <c r="B932" s="199"/>
    </row>
    <row r="933" s="35" customFormat="true" ht="14.4" hidden="false" customHeight="false" outlineLevel="0" collapsed="false">
      <c r="B933" s="199"/>
    </row>
    <row r="934" s="35" customFormat="true" ht="14.4" hidden="false" customHeight="false" outlineLevel="0" collapsed="false">
      <c r="B934" s="199"/>
    </row>
    <row r="935" s="35" customFormat="true" ht="14.4" hidden="false" customHeight="false" outlineLevel="0" collapsed="false">
      <c r="B935" s="199"/>
    </row>
    <row r="936" s="35" customFormat="true" ht="14.4" hidden="false" customHeight="false" outlineLevel="0" collapsed="false">
      <c r="B936" s="199"/>
    </row>
    <row r="937" s="35" customFormat="true" ht="14.4" hidden="false" customHeight="false" outlineLevel="0" collapsed="false">
      <c r="B937" s="199"/>
    </row>
    <row r="938" s="35" customFormat="true" ht="14.4" hidden="false" customHeight="false" outlineLevel="0" collapsed="false">
      <c r="B938" s="199"/>
    </row>
    <row r="939" s="35" customFormat="true" ht="14.4" hidden="false" customHeight="false" outlineLevel="0" collapsed="false">
      <c r="B939" s="199"/>
    </row>
    <row r="940" s="35" customFormat="true" ht="14.4" hidden="false" customHeight="false" outlineLevel="0" collapsed="false">
      <c r="B940" s="199"/>
    </row>
    <row r="941" s="35" customFormat="true" ht="14.4" hidden="false" customHeight="false" outlineLevel="0" collapsed="false">
      <c r="B941" s="199"/>
    </row>
    <row r="942" s="35" customFormat="true" ht="14.4" hidden="false" customHeight="false" outlineLevel="0" collapsed="false">
      <c r="B942" s="199"/>
    </row>
    <row r="943" s="35" customFormat="true" ht="14.4" hidden="false" customHeight="false" outlineLevel="0" collapsed="false">
      <c r="B943" s="199"/>
    </row>
    <row r="944" s="35" customFormat="true" ht="14.4" hidden="false" customHeight="false" outlineLevel="0" collapsed="false">
      <c r="B944" s="199"/>
    </row>
    <row r="945" s="35" customFormat="true" ht="14.4" hidden="false" customHeight="false" outlineLevel="0" collapsed="false">
      <c r="B945" s="199"/>
    </row>
    <row r="946" s="35" customFormat="true" ht="14.4" hidden="false" customHeight="false" outlineLevel="0" collapsed="false">
      <c r="B946" s="199"/>
    </row>
    <row r="947" s="35" customFormat="true" ht="14.4" hidden="false" customHeight="false" outlineLevel="0" collapsed="false">
      <c r="B947" s="199"/>
    </row>
    <row r="948" s="35" customFormat="true" ht="14.4" hidden="false" customHeight="false" outlineLevel="0" collapsed="false">
      <c r="B948" s="199"/>
    </row>
    <row r="949" s="35" customFormat="true" ht="14.4" hidden="false" customHeight="false" outlineLevel="0" collapsed="false">
      <c r="B949" s="199"/>
    </row>
    <row r="950" s="35" customFormat="true" ht="14.4" hidden="false" customHeight="false" outlineLevel="0" collapsed="false">
      <c r="B950" s="199"/>
    </row>
    <row r="951" s="35" customFormat="true" ht="14.4" hidden="false" customHeight="false" outlineLevel="0" collapsed="false">
      <c r="B951" s="199"/>
    </row>
    <row r="952" s="35" customFormat="true" ht="14.4" hidden="false" customHeight="false" outlineLevel="0" collapsed="false">
      <c r="B952" s="199"/>
    </row>
    <row r="953" s="35" customFormat="true" ht="14.4" hidden="false" customHeight="false" outlineLevel="0" collapsed="false">
      <c r="B953" s="199"/>
    </row>
    <row r="954" s="35" customFormat="true" ht="14.4" hidden="false" customHeight="false" outlineLevel="0" collapsed="false">
      <c r="B954" s="199"/>
    </row>
    <row r="955" s="35" customFormat="true" ht="14.4" hidden="false" customHeight="false" outlineLevel="0" collapsed="false">
      <c r="B955" s="199"/>
    </row>
    <row r="956" s="35" customFormat="true" ht="14.4" hidden="false" customHeight="false" outlineLevel="0" collapsed="false">
      <c r="B956" s="199"/>
    </row>
    <row r="957" s="35" customFormat="true" ht="14.4" hidden="false" customHeight="false" outlineLevel="0" collapsed="false">
      <c r="B957" s="199"/>
    </row>
    <row r="958" s="35" customFormat="true" ht="14.4" hidden="false" customHeight="false" outlineLevel="0" collapsed="false">
      <c r="B958" s="199"/>
    </row>
    <row r="959" s="35" customFormat="true" ht="14.4" hidden="false" customHeight="false" outlineLevel="0" collapsed="false">
      <c r="B959" s="199"/>
    </row>
    <row r="960" s="35" customFormat="true" ht="14.4" hidden="false" customHeight="false" outlineLevel="0" collapsed="false">
      <c r="B960" s="199"/>
    </row>
    <row r="961" s="35" customFormat="true" ht="14.4" hidden="false" customHeight="false" outlineLevel="0" collapsed="false">
      <c r="B961" s="199"/>
    </row>
    <row r="962" s="35" customFormat="true" ht="14.4" hidden="false" customHeight="false" outlineLevel="0" collapsed="false">
      <c r="B962" s="199"/>
    </row>
    <row r="963" s="35" customFormat="true" ht="14.4" hidden="false" customHeight="false" outlineLevel="0" collapsed="false">
      <c r="B963" s="199"/>
    </row>
    <row r="964" s="35" customFormat="true" ht="14.4" hidden="false" customHeight="false" outlineLevel="0" collapsed="false">
      <c r="B964" s="199"/>
    </row>
    <row r="965" s="35" customFormat="true" ht="14.4" hidden="false" customHeight="false" outlineLevel="0" collapsed="false">
      <c r="B965" s="199"/>
    </row>
    <row r="966" s="35" customFormat="true" ht="14.4" hidden="false" customHeight="false" outlineLevel="0" collapsed="false">
      <c r="B966" s="199"/>
    </row>
    <row r="967" s="35" customFormat="true" ht="14.4" hidden="false" customHeight="false" outlineLevel="0" collapsed="false">
      <c r="B967" s="199"/>
    </row>
    <row r="968" s="35" customFormat="true" ht="14.4" hidden="false" customHeight="false" outlineLevel="0" collapsed="false">
      <c r="B968" s="199"/>
    </row>
    <row r="969" s="35" customFormat="true" ht="14.4" hidden="false" customHeight="false" outlineLevel="0" collapsed="false">
      <c r="B969" s="199"/>
    </row>
    <row r="970" s="35" customFormat="true" ht="14.4" hidden="false" customHeight="false" outlineLevel="0" collapsed="false">
      <c r="B970" s="199"/>
    </row>
    <row r="971" s="35" customFormat="true" ht="14.4" hidden="false" customHeight="false" outlineLevel="0" collapsed="false">
      <c r="B971" s="199"/>
    </row>
    <row r="972" s="35" customFormat="true" ht="14.4" hidden="false" customHeight="false" outlineLevel="0" collapsed="false">
      <c r="B972" s="199"/>
    </row>
    <row r="973" s="35" customFormat="true" ht="14.4" hidden="false" customHeight="false" outlineLevel="0" collapsed="false">
      <c r="B973" s="199"/>
    </row>
    <row r="974" s="35" customFormat="true" ht="14.4" hidden="false" customHeight="false" outlineLevel="0" collapsed="false">
      <c r="B974" s="199"/>
    </row>
    <row r="975" s="35" customFormat="true" ht="14.4" hidden="false" customHeight="false" outlineLevel="0" collapsed="false">
      <c r="B975" s="199"/>
    </row>
    <row r="976" s="35" customFormat="true" ht="14.4" hidden="false" customHeight="false" outlineLevel="0" collapsed="false">
      <c r="B976" s="199"/>
    </row>
    <row r="977" s="35" customFormat="true" ht="14.4" hidden="false" customHeight="false" outlineLevel="0" collapsed="false">
      <c r="B977" s="199"/>
    </row>
    <row r="978" s="35" customFormat="true" ht="14.4" hidden="false" customHeight="false" outlineLevel="0" collapsed="false">
      <c r="B978" s="199"/>
    </row>
    <row r="979" s="35" customFormat="true" ht="14.4" hidden="false" customHeight="false" outlineLevel="0" collapsed="false">
      <c r="B979" s="199"/>
    </row>
    <row r="980" s="35" customFormat="true" ht="14.4" hidden="false" customHeight="false" outlineLevel="0" collapsed="false">
      <c r="B980" s="199"/>
    </row>
    <row r="981" s="35" customFormat="true" ht="14.4" hidden="false" customHeight="false" outlineLevel="0" collapsed="false">
      <c r="B981" s="199"/>
    </row>
    <row r="982" s="35" customFormat="true" ht="14.4" hidden="false" customHeight="false" outlineLevel="0" collapsed="false">
      <c r="B982" s="199"/>
    </row>
    <row r="983" s="35" customFormat="true" ht="14.4" hidden="false" customHeight="false" outlineLevel="0" collapsed="false">
      <c r="B983" s="199"/>
    </row>
    <row r="984" s="35" customFormat="true" ht="14.4" hidden="false" customHeight="false" outlineLevel="0" collapsed="false">
      <c r="B984" s="199"/>
    </row>
    <row r="985" s="35" customFormat="true" ht="14.4" hidden="false" customHeight="false" outlineLevel="0" collapsed="false">
      <c r="B985" s="199"/>
    </row>
    <row r="986" s="35" customFormat="true" ht="14.4" hidden="false" customHeight="false" outlineLevel="0" collapsed="false">
      <c r="B986" s="199"/>
    </row>
    <row r="987" s="35" customFormat="true" ht="14.4" hidden="false" customHeight="false" outlineLevel="0" collapsed="false">
      <c r="B987" s="199"/>
    </row>
    <row r="988" s="35" customFormat="true" ht="14.4" hidden="false" customHeight="false" outlineLevel="0" collapsed="false">
      <c r="B988" s="199"/>
    </row>
    <row r="989" s="35" customFormat="true" ht="14.4" hidden="false" customHeight="false" outlineLevel="0" collapsed="false">
      <c r="B989" s="199"/>
    </row>
    <row r="990" s="35" customFormat="true" ht="14.4" hidden="false" customHeight="false" outlineLevel="0" collapsed="false">
      <c r="B990" s="199"/>
    </row>
    <row r="991" s="35" customFormat="true" ht="14.4" hidden="false" customHeight="false" outlineLevel="0" collapsed="false">
      <c r="B991" s="199"/>
    </row>
    <row r="992" s="35" customFormat="true" ht="14.4" hidden="false" customHeight="false" outlineLevel="0" collapsed="false">
      <c r="B992" s="199"/>
    </row>
    <row r="993" s="35" customFormat="true" ht="14.4" hidden="false" customHeight="false" outlineLevel="0" collapsed="false">
      <c r="B993" s="199"/>
    </row>
    <row r="994" s="35" customFormat="true" ht="14.4" hidden="false" customHeight="false" outlineLevel="0" collapsed="false">
      <c r="B994" s="199"/>
    </row>
    <row r="995" s="35" customFormat="true" ht="14.4" hidden="false" customHeight="false" outlineLevel="0" collapsed="false">
      <c r="B995" s="199"/>
    </row>
    <row r="996" s="35" customFormat="true" ht="14.4" hidden="false" customHeight="false" outlineLevel="0" collapsed="false">
      <c r="B996" s="199"/>
    </row>
    <row r="997" s="35" customFormat="true" ht="14.4" hidden="false" customHeight="false" outlineLevel="0" collapsed="false">
      <c r="B997" s="199"/>
    </row>
    <row r="998" s="35" customFormat="true" ht="14.4" hidden="false" customHeight="false" outlineLevel="0" collapsed="false">
      <c r="B998" s="199"/>
    </row>
    <row r="999" s="35" customFormat="true" ht="14.4" hidden="false" customHeight="false" outlineLevel="0" collapsed="false">
      <c r="B999" s="199"/>
    </row>
    <row r="1000" s="35" customFormat="true" ht="14.4" hidden="false" customHeight="false" outlineLevel="0" collapsed="false">
      <c r="B1000" s="199"/>
    </row>
    <row r="1001" s="35" customFormat="true" ht="14.4" hidden="false" customHeight="false" outlineLevel="0" collapsed="false">
      <c r="B1001" s="199"/>
    </row>
    <row r="1002" s="35" customFormat="true" ht="14.4" hidden="false" customHeight="false" outlineLevel="0" collapsed="false">
      <c r="B1002" s="199"/>
    </row>
    <row r="1003" s="35" customFormat="true" ht="14.4" hidden="false" customHeight="false" outlineLevel="0" collapsed="false">
      <c r="B1003" s="199"/>
    </row>
    <row r="1004" s="35" customFormat="true" ht="14.4" hidden="false" customHeight="false" outlineLevel="0" collapsed="false">
      <c r="B1004" s="199"/>
    </row>
    <row r="1005" s="35" customFormat="true" ht="14.4" hidden="false" customHeight="false" outlineLevel="0" collapsed="false">
      <c r="B1005" s="199"/>
    </row>
    <row r="1006" s="35" customFormat="true" ht="14.4" hidden="false" customHeight="false" outlineLevel="0" collapsed="false">
      <c r="B1006" s="199"/>
    </row>
    <row r="1007" s="35" customFormat="true" ht="14.4" hidden="false" customHeight="false" outlineLevel="0" collapsed="false">
      <c r="B1007" s="199"/>
    </row>
    <row r="1008" s="35" customFormat="true" ht="14.4" hidden="false" customHeight="false" outlineLevel="0" collapsed="false">
      <c r="B1008" s="199"/>
    </row>
    <row r="1009" s="35" customFormat="true" ht="14.4" hidden="false" customHeight="false" outlineLevel="0" collapsed="false">
      <c r="B1009" s="199"/>
    </row>
    <row r="1010" s="35" customFormat="true" ht="14.4" hidden="false" customHeight="false" outlineLevel="0" collapsed="false">
      <c r="B1010" s="199"/>
    </row>
    <row r="1011" s="35" customFormat="true" ht="14.4" hidden="false" customHeight="false" outlineLevel="0" collapsed="false">
      <c r="B1011" s="199"/>
    </row>
    <row r="1012" s="35" customFormat="true" ht="14.4" hidden="false" customHeight="false" outlineLevel="0" collapsed="false">
      <c r="B1012" s="199"/>
    </row>
    <row r="1013" s="35" customFormat="true" ht="14.4" hidden="false" customHeight="false" outlineLevel="0" collapsed="false">
      <c r="B1013" s="199"/>
    </row>
    <row r="1014" s="35" customFormat="true" ht="14.4" hidden="false" customHeight="false" outlineLevel="0" collapsed="false">
      <c r="B1014" s="199"/>
    </row>
    <row r="1015" s="35" customFormat="true" ht="14.4" hidden="false" customHeight="false" outlineLevel="0" collapsed="false">
      <c r="B1015" s="199"/>
    </row>
    <row r="1016" s="35" customFormat="true" ht="14.4" hidden="false" customHeight="false" outlineLevel="0" collapsed="false">
      <c r="B1016" s="199"/>
    </row>
    <row r="1017" s="35" customFormat="true" ht="14.4" hidden="false" customHeight="false" outlineLevel="0" collapsed="false">
      <c r="B1017" s="199"/>
    </row>
    <row r="1018" s="35" customFormat="true" ht="14.4" hidden="false" customHeight="false" outlineLevel="0" collapsed="false">
      <c r="B1018" s="199"/>
    </row>
    <row r="1019" s="35" customFormat="true" ht="14.4" hidden="false" customHeight="false" outlineLevel="0" collapsed="false">
      <c r="B1019" s="199"/>
    </row>
    <row r="1020" s="35" customFormat="true" ht="14.4" hidden="false" customHeight="false" outlineLevel="0" collapsed="false">
      <c r="B1020" s="199"/>
    </row>
    <row r="1021" s="35" customFormat="true" ht="14.4" hidden="false" customHeight="false" outlineLevel="0" collapsed="false">
      <c r="B1021" s="199"/>
    </row>
    <row r="1022" s="35" customFormat="true" ht="14.4" hidden="false" customHeight="false" outlineLevel="0" collapsed="false">
      <c r="B1022" s="199"/>
    </row>
    <row r="1023" s="35" customFormat="true" ht="14.4" hidden="false" customHeight="false" outlineLevel="0" collapsed="false">
      <c r="B1023" s="199"/>
    </row>
    <row r="1024" s="35" customFormat="true" ht="14.4" hidden="false" customHeight="false" outlineLevel="0" collapsed="false">
      <c r="B1024" s="199"/>
    </row>
    <row r="1025" s="35" customFormat="true" ht="14.4" hidden="false" customHeight="false" outlineLevel="0" collapsed="false">
      <c r="B1025" s="199"/>
    </row>
    <row r="1026" s="35" customFormat="true" ht="14.4" hidden="false" customHeight="false" outlineLevel="0" collapsed="false">
      <c r="B1026" s="199"/>
    </row>
    <row r="1027" s="35" customFormat="true" ht="14.4" hidden="false" customHeight="false" outlineLevel="0" collapsed="false">
      <c r="B1027" s="199"/>
    </row>
    <row r="1028" s="35" customFormat="true" ht="14.4" hidden="false" customHeight="false" outlineLevel="0" collapsed="false">
      <c r="B1028" s="199"/>
    </row>
    <row r="1029" s="35" customFormat="true" ht="14.4" hidden="false" customHeight="false" outlineLevel="0" collapsed="false">
      <c r="B1029" s="199"/>
    </row>
    <row r="1030" s="35" customFormat="true" ht="14.4" hidden="false" customHeight="false" outlineLevel="0" collapsed="false">
      <c r="B1030" s="199"/>
    </row>
    <row r="1031" s="35" customFormat="true" ht="14.4" hidden="false" customHeight="false" outlineLevel="0" collapsed="false">
      <c r="B1031" s="199"/>
    </row>
    <row r="1032" s="35" customFormat="true" ht="14.4" hidden="false" customHeight="false" outlineLevel="0" collapsed="false">
      <c r="B1032" s="199"/>
    </row>
    <row r="1033" s="35" customFormat="true" ht="14.4" hidden="false" customHeight="false" outlineLevel="0" collapsed="false">
      <c r="B1033" s="199"/>
    </row>
    <row r="1034" s="35" customFormat="true" ht="14.4" hidden="false" customHeight="false" outlineLevel="0" collapsed="false">
      <c r="B1034" s="199"/>
    </row>
    <row r="1035" s="35" customFormat="true" ht="14.4" hidden="false" customHeight="false" outlineLevel="0" collapsed="false">
      <c r="B1035" s="199"/>
    </row>
    <row r="1036" s="35" customFormat="true" ht="14.4" hidden="false" customHeight="false" outlineLevel="0" collapsed="false">
      <c r="B1036" s="199"/>
    </row>
    <row r="1037" s="35" customFormat="true" ht="14.4" hidden="false" customHeight="false" outlineLevel="0" collapsed="false">
      <c r="B1037" s="199"/>
    </row>
    <row r="1038" s="35" customFormat="true" ht="14.4" hidden="false" customHeight="false" outlineLevel="0" collapsed="false">
      <c r="B1038" s="199"/>
    </row>
    <row r="1039" s="35" customFormat="true" ht="14.4" hidden="false" customHeight="false" outlineLevel="0" collapsed="false">
      <c r="B1039" s="199"/>
    </row>
    <row r="1040" s="35" customFormat="true" ht="14.4" hidden="false" customHeight="false" outlineLevel="0" collapsed="false">
      <c r="B1040" s="199"/>
    </row>
    <row r="1041" s="35" customFormat="true" ht="14.4" hidden="false" customHeight="false" outlineLevel="0" collapsed="false">
      <c r="B1041" s="199"/>
    </row>
    <row r="1042" s="35" customFormat="true" ht="14.4" hidden="false" customHeight="false" outlineLevel="0" collapsed="false">
      <c r="B1042" s="199"/>
    </row>
    <row r="1043" s="35" customFormat="true" ht="14.4" hidden="false" customHeight="false" outlineLevel="0" collapsed="false">
      <c r="B1043" s="199"/>
    </row>
    <row r="1044" s="35" customFormat="true" ht="14.4" hidden="false" customHeight="false" outlineLevel="0" collapsed="false">
      <c r="B1044" s="199"/>
    </row>
    <row r="1045" s="35" customFormat="true" ht="14.4" hidden="false" customHeight="false" outlineLevel="0" collapsed="false">
      <c r="B1045" s="199"/>
    </row>
    <row r="1046" s="35" customFormat="true" ht="14.4" hidden="false" customHeight="false" outlineLevel="0" collapsed="false">
      <c r="B1046" s="199"/>
    </row>
    <row r="1047" s="35" customFormat="true" ht="14.4" hidden="false" customHeight="false" outlineLevel="0" collapsed="false">
      <c r="B1047" s="199"/>
    </row>
    <row r="1048" s="35" customFormat="true" ht="14.4" hidden="false" customHeight="false" outlineLevel="0" collapsed="false">
      <c r="B1048" s="199"/>
    </row>
    <row r="1049" s="35" customFormat="true" ht="14.4" hidden="false" customHeight="false" outlineLevel="0" collapsed="false">
      <c r="B1049" s="199"/>
    </row>
    <row r="1050" s="35" customFormat="true" ht="14.4" hidden="false" customHeight="false" outlineLevel="0" collapsed="false">
      <c r="B1050" s="199"/>
    </row>
    <row r="1051" s="35" customFormat="true" ht="14.4" hidden="false" customHeight="false" outlineLevel="0" collapsed="false">
      <c r="B1051" s="199"/>
    </row>
    <row r="1052" s="35" customFormat="true" ht="14.4" hidden="false" customHeight="false" outlineLevel="0" collapsed="false">
      <c r="B1052" s="199"/>
    </row>
    <row r="1053" s="35" customFormat="true" ht="14.4" hidden="false" customHeight="false" outlineLevel="0" collapsed="false">
      <c r="B1053" s="199"/>
    </row>
    <row r="1054" s="35" customFormat="true" ht="14.4" hidden="false" customHeight="false" outlineLevel="0" collapsed="false">
      <c r="B1054" s="199"/>
    </row>
    <row r="1055" s="35" customFormat="true" ht="14.4" hidden="false" customHeight="false" outlineLevel="0" collapsed="false">
      <c r="B1055" s="199"/>
    </row>
    <row r="1056" s="35" customFormat="true" ht="14.4" hidden="false" customHeight="false" outlineLevel="0" collapsed="false">
      <c r="B1056" s="199"/>
    </row>
    <row r="1057" s="35" customFormat="true" ht="14.4" hidden="false" customHeight="false" outlineLevel="0" collapsed="false">
      <c r="B1057" s="199"/>
    </row>
    <row r="1058" s="35" customFormat="true" ht="14.4" hidden="false" customHeight="false" outlineLevel="0" collapsed="false">
      <c r="B1058" s="199"/>
    </row>
    <row r="1059" s="35" customFormat="true" ht="14.4" hidden="false" customHeight="false" outlineLevel="0" collapsed="false">
      <c r="B1059" s="199"/>
    </row>
    <row r="1060" s="35" customFormat="true" ht="14.4" hidden="false" customHeight="false" outlineLevel="0" collapsed="false">
      <c r="B1060" s="199"/>
    </row>
    <row r="1061" s="35" customFormat="true" ht="14.4" hidden="false" customHeight="false" outlineLevel="0" collapsed="false">
      <c r="B1061" s="199"/>
    </row>
    <row r="1062" s="35" customFormat="true" ht="14.4" hidden="false" customHeight="false" outlineLevel="0" collapsed="false">
      <c r="B1062" s="199"/>
    </row>
    <row r="1063" s="35" customFormat="true" ht="14.4" hidden="false" customHeight="false" outlineLevel="0" collapsed="false">
      <c r="B1063" s="199"/>
    </row>
    <row r="1064" s="35" customFormat="true" ht="14.4" hidden="false" customHeight="false" outlineLevel="0" collapsed="false">
      <c r="B1064" s="199"/>
    </row>
    <row r="1065" s="35" customFormat="true" ht="14.4" hidden="false" customHeight="false" outlineLevel="0" collapsed="false">
      <c r="B1065" s="199"/>
    </row>
    <row r="1066" s="35" customFormat="true" ht="14.4" hidden="false" customHeight="false" outlineLevel="0" collapsed="false">
      <c r="B1066" s="199"/>
    </row>
    <row r="1067" s="35" customFormat="true" ht="14.4" hidden="false" customHeight="false" outlineLevel="0" collapsed="false">
      <c r="B1067" s="199"/>
    </row>
    <row r="1068" s="35" customFormat="true" ht="14.4" hidden="false" customHeight="false" outlineLevel="0" collapsed="false">
      <c r="B1068" s="199"/>
    </row>
    <row r="1069" s="35" customFormat="true" ht="14.4" hidden="false" customHeight="false" outlineLevel="0" collapsed="false">
      <c r="B1069" s="199"/>
    </row>
    <row r="1070" s="35" customFormat="true" ht="14.4" hidden="false" customHeight="false" outlineLevel="0" collapsed="false">
      <c r="B1070" s="199"/>
    </row>
    <row r="1071" s="35" customFormat="true" ht="14.4" hidden="false" customHeight="false" outlineLevel="0" collapsed="false">
      <c r="B1071" s="199"/>
    </row>
    <row r="1072" s="35" customFormat="true" ht="14.4" hidden="false" customHeight="false" outlineLevel="0" collapsed="false">
      <c r="B1072" s="199"/>
    </row>
    <row r="1073" s="35" customFormat="true" ht="14.4" hidden="false" customHeight="false" outlineLevel="0" collapsed="false">
      <c r="B1073" s="199"/>
    </row>
    <row r="1074" s="35" customFormat="true" ht="14.4" hidden="false" customHeight="false" outlineLevel="0" collapsed="false">
      <c r="B1074" s="199"/>
    </row>
    <row r="1075" s="35" customFormat="true" ht="14.4" hidden="false" customHeight="false" outlineLevel="0" collapsed="false">
      <c r="B1075" s="199"/>
    </row>
    <row r="1076" s="35" customFormat="true" ht="14.4" hidden="false" customHeight="false" outlineLevel="0" collapsed="false">
      <c r="B1076" s="199"/>
    </row>
    <row r="1077" s="35" customFormat="true" ht="14.4" hidden="false" customHeight="false" outlineLevel="0" collapsed="false">
      <c r="B1077" s="199"/>
    </row>
    <row r="1078" s="35" customFormat="true" ht="14.4" hidden="false" customHeight="false" outlineLevel="0" collapsed="false">
      <c r="B1078" s="199"/>
    </row>
    <row r="1079" s="35" customFormat="true" ht="14.4" hidden="false" customHeight="false" outlineLevel="0" collapsed="false">
      <c r="B1079" s="199"/>
    </row>
    <row r="1080" s="35" customFormat="true" ht="14.4" hidden="false" customHeight="false" outlineLevel="0" collapsed="false">
      <c r="B1080" s="199"/>
    </row>
    <row r="1081" s="35" customFormat="true" ht="14.4" hidden="false" customHeight="false" outlineLevel="0" collapsed="false">
      <c r="B1081" s="199"/>
    </row>
    <row r="1082" s="35" customFormat="true" ht="14.4" hidden="false" customHeight="false" outlineLevel="0" collapsed="false">
      <c r="B1082" s="199"/>
    </row>
    <row r="1083" s="35" customFormat="true" ht="14.4" hidden="false" customHeight="false" outlineLevel="0" collapsed="false">
      <c r="B1083" s="199"/>
    </row>
    <row r="1084" s="35" customFormat="true" ht="14.4" hidden="false" customHeight="false" outlineLevel="0" collapsed="false">
      <c r="B1084" s="199"/>
    </row>
    <row r="1085" s="35" customFormat="true" ht="14.4" hidden="false" customHeight="false" outlineLevel="0" collapsed="false">
      <c r="B1085" s="199"/>
    </row>
    <row r="1086" s="35" customFormat="true" ht="14.4" hidden="false" customHeight="false" outlineLevel="0" collapsed="false">
      <c r="B1086" s="199"/>
    </row>
    <row r="1087" s="35" customFormat="true" ht="14.4" hidden="false" customHeight="false" outlineLevel="0" collapsed="false">
      <c r="B1087" s="199"/>
    </row>
    <row r="1088" s="35" customFormat="true" ht="14.4" hidden="false" customHeight="false" outlineLevel="0" collapsed="false">
      <c r="B1088" s="199"/>
    </row>
    <row r="1089" s="35" customFormat="true" ht="14.4" hidden="false" customHeight="false" outlineLevel="0" collapsed="false">
      <c r="B1089" s="199"/>
    </row>
    <row r="1090" s="35" customFormat="true" ht="14.4" hidden="false" customHeight="false" outlineLevel="0" collapsed="false">
      <c r="B1090" s="199"/>
    </row>
    <row r="1091" s="35" customFormat="true" ht="14.4" hidden="false" customHeight="false" outlineLevel="0" collapsed="false">
      <c r="B1091" s="199"/>
    </row>
    <row r="1092" s="35" customFormat="true" ht="14.4" hidden="false" customHeight="false" outlineLevel="0" collapsed="false">
      <c r="B1092" s="199"/>
    </row>
    <row r="1093" s="35" customFormat="true" ht="14.4" hidden="false" customHeight="false" outlineLevel="0" collapsed="false">
      <c r="B1093" s="199"/>
    </row>
    <row r="1094" s="35" customFormat="true" ht="14.4" hidden="false" customHeight="false" outlineLevel="0" collapsed="false">
      <c r="B1094" s="199"/>
    </row>
    <row r="1095" s="35" customFormat="true" ht="14.4" hidden="false" customHeight="false" outlineLevel="0" collapsed="false">
      <c r="B1095" s="199"/>
    </row>
    <row r="1096" s="35" customFormat="true" ht="14.4" hidden="false" customHeight="false" outlineLevel="0" collapsed="false">
      <c r="B1096" s="199"/>
    </row>
    <row r="1097" s="35" customFormat="true" ht="14.4" hidden="false" customHeight="false" outlineLevel="0" collapsed="false">
      <c r="B1097" s="199"/>
    </row>
    <row r="1098" s="35" customFormat="true" ht="14.4" hidden="false" customHeight="false" outlineLevel="0" collapsed="false">
      <c r="B1098" s="199"/>
    </row>
    <row r="1099" s="35" customFormat="true" ht="14.4" hidden="false" customHeight="false" outlineLevel="0" collapsed="false">
      <c r="B1099" s="199"/>
    </row>
    <row r="1100" s="35" customFormat="true" ht="14.4" hidden="false" customHeight="false" outlineLevel="0" collapsed="false">
      <c r="B1100" s="199"/>
    </row>
    <row r="1101" s="35" customFormat="true" ht="14.4" hidden="false" customHeight="false" outlineLevel="0" collapsed="false">
      <c r="B1101" s="199"/>
    </row>
    <row r="1102" s="35" customFormat="true" ht="14.4" hidden="false" customHeight="false" outlineLevel="0" collapsed="false">
      <c r="B1102" s="199"/>
    </row>
    <row r="1103" s="35" customFormat="true" ht="14.4" hidden="false" customHeight="false" outlineLevel="0" collapsed="false">
      <c r="B1103" s="199"/>
    </row>
    <row r="1104" s="35" customFormat="true" ht="14.4" hidden="false" customHeight="false" outlineLevel="0" collapsed="false">
      <c r="B1104" s="199"/>
    </row>
    <row r="1105" s="35" customFormat="true" ht="14.4" hidden="false" customHeight="false" outlineLevel="0" collapsed="false">
      <c r="B1105" s="199"/>
    </row>
    <row r="1106" s="35" customFormat="true" ht="14.4" hidden="false" customHeight="false" outlineLevel="0" collapsed="false">
      <c r="B1106" s="199"/>
    </row>
    <row r="1107" s="35" customFormat="true" ht="14.4" hidden="false" customHeight="false" outlineLevel="0" collapsed="false">
      <c r="B1107" s="199"/>
    </row>
    <row r="1108" s="35" customFormat="true" ht="14.4" hidden="false" customHeight="false" outlineLevel="0" collapsed="false">
      <c r="B1108" s="199"/>
    </row>
    <row r="1109" s="35" customFormat="true" ht="14.4" hidden="false" customHeight="false" outlineLevel="0" collapsed="false">
      <c r="B1109" s="199"/>
    </row>
    <row r="1110" s="35" customFormat="true" ht="14.4" hidden="false" customHeight="false" outlineLevel="0" collapsed="false">
      <c r="B1110" s="199"/>
    </row>
    <row r="1111" s="35" customFormat="true" ht="14.4" hidden="false" customHeight="false" outlineLevel="0" collapsed="false">
      <c r="B1111" s="199"/>
    </row>
    <row r="1112" s="35" customFormat="true" ht="14.4" hidden="false" customHeight="false" outlineLevel="0" collapsed="false">
      <c r="B1112" s="199"/>
    </row>
    <row r="1113" s="35" customFormat="true" ht="14.4" hidden="false" customHeight="false" outlineLevel="0" collapsed="false">
      <c r="B1113" s="199"/>
    </row>
    <row r="1114" s="35" customFormat="true" ht="14.4" hidden="false" customHeight="false" outlineLevel="0" collapsed="false">
      <c r="B1114" s="199"/>
    </row>
    <row r="1115" s="35" customFormat="true" ht="14.4" hidden="false" customHeight="false" outlineLevel="0" collapsed="false">
      <c r="B1115" s="199"/>
    </row>
    <row r="1116" s="35" customFormat="true" ht="14.4" hidden="false" customHeight="false" outlineLevel="0" collapsed="false">
      <c r="B1116" s="199"/>
    </row>
    <row r="1117" s="35" customFormat="true" ht="14.4" hidden="false" customHeight="false" outlineLevel="0" collapsed="false">
      <c r="B1117" s="199"/>
    </row>
    <row r="1118" s="35" customFormat="true" ht="14.4" hidden="false" customHeight="false" outlineLevel="0" collapsed="false">
      <c r="B1118" s="199"/>
    </row>
    <row r="1119" s="35" customFormat="true" ht="14.4" hidden="false" customHeight="false" outlineLevel="0" collapsed="false">
      <c r="B1119" s="199"/>
    </row>
    <row r="1120" s="35" customFormat="true" ht="14.4" hidden="false" customHeight="false" outlineLevel="0" collapsed="false">
      <c r="B1120" s="199"/>
    </row>
    <row r="1121" s="35" customFormat="true" ht="14.4" hidden="false" customHeight="false" outlineLevel="0" collapsed="false">
      <c r="B1121" s="199"/>
    </row>
    <row r="1122" s="35" customFormat="true" ht="14.4" hidden="false" customHeight="false" outlineLevel="0" collapsed="false">
      <c r="B1122" s="199"/>
    </row>
    <row r="1123" s="35" customFormat="true" ht="14.4" hidden="false" customHeight="false" outlineLevel="0" collapsed="false">
      <c r="B1123" s="199"/>
    </row>
    <row r="1124" s="35" customFormat="true" ht="14.4" hidden="false" customHeight="false" outlineLevel="0" collapsed="false">
      <c r="B1124" s="199"/>
    </row>
    <row r="1125" s="35" customFormat="true" ht="14.4" hidden="false" customHeight="false" outlineLevel="0" collapsed="false">
      <c r="B1125" s="199"/>
    </row>
    <row r="1126" s="35" customFormat="true" ht="14.4" hidden="false" customHeight="false" outlineLevel="0" collapsed="false">
      <c r="B1126" s="199"/>
    </row>
    <row r="1127" s="35" customFormat="true" ht="14.4" hidden="false" customHeight="false" outlineLevel="0" collapsed="false">
      <c r="B1127" s="199"/>
    </row>
    <row r="1128" s="35" customFormat="true" ht="14.4" hidden="false" customHeight="false" outlineLevel="0" collapsed="false">
      <c r="B1128" s="199"/>
    </row>
    <row r="1129" s="35" customFormat="true" ht="14.4" hidden="false" customHeight="false" outlineLevel="0" collapsed="false">
      <c r="B1129" s="199"/>
    </row>
    <row r="1130" s="35" customFormat="true" ht="14.4" hidden="false" customHeight="false" outlineLevel="0" collapsed="false">
      <c r="B1130" s="199"/>
    </row>
    <row r="1131" s="35" customFormat="true" ht="14.4" hidden="false" customHeight="false" outlineLevel="0" collapsed="false">
      <c r="B1131" s="199"/>
    </row>
    <row r="1132" s="35" customFormat="true" ht="14.4" hidden="false" customHeight="false" outlineLevel="0" collapsed="false">
      <c r="B1132" s="199"/>
    </row>
    <row r="1133" s="35" customFormat="true" ht="14.4" hidden="false" customHeight="false" outlineLevel="0" collapsed="false">
      <c r="B1133" s="199"/>
    </row>
    <row r="1134" s="35" customFormat="true" ht="14.4" hidden="false" customHeight="false" outlineLevel="0" collapsed="false">
      <c r="B1134" s="199"/>
    </row>
    <row r="1135" s="35" customFormat="true" ht="14.4" hidden="false" customHeight="false" outlineLevel="0" collapsed="false">
      <c r="B1135" s="199"/>
    </row>
    <row r="1136" s="35" customFormat="true" ht="14.4" hidden="false" customHeight="false" outlineLevel="0" collapsed="false">
      <c r="B1136" s="199"/>
    </row>
    <row r="1137" s="35" customFormat="true" ht="14.4" hidden="false" customHeight="false" outlineLevel="0" collapsed="false">
      <c r="B1137" s="199"/>
    </row>
    <row r="1138" s="35" customFormat="true" ht="14.4" hidden="false" customHeight="false" outlineLevel="0" collapsed="false">
      <c r="B1138" s="199"/>
    </row>
    <row r="1139" s="35" customFormat="true" ht="14.4" hidden="false" customHeight="false" outlineLevel="0" collapsed="false">
      <c r="B1139" s="199"/>
    </row>
    <row r="1140" s="35" customFormat="true" ht="14.4" hidden="false" customHeight="false" outlineLevel="0" collapsed="false">
      <c r="B1140" s="199"/>
    </row>
    <row r="1141" s="35" customFormat="true" ht="14.4" hidden="false" customHeight="false" outlineLevel="0" collapsed="false">
      <c r="B1141" s="199"/>
    </row>
    <row r="1142" s="35" customFormat="true" ht="14.4" hidden="false" customHeight="false" outlineLevel="0" collapsed="false">
      <c r="B1142" s="199"/>
    </row>
    <row r="1143" s="35" customFormat="true" ht="14.4" hidden="false" customHeight="false" outlineLevel="0" collapsed="false">
      <c r="B1143" s="199"/>
    </row>
    <row r="1144" s="35" customFormat="true" ht="14.4" hidden="false" customHeight="false" outlineLevel="0" collapsed="false">
      <c r="B1144" s="199"/>
    </row>
    <row r="1145" s="35" customFormat="true" ht="14.4" hidden="false" customHeight="false" outlineLevel="0" collapsed="false">
      <c r="B1145" s="199"/>
    </row>
    <row r="1146" s="35" customFormat="true" ht="14.4" hidden="false" customHeight="false" outlineLevel="0" collapsed="false">
      <c r="B1146" s="199"/>
    </row>
    <row r="1147" s="35" customFormat="true" ht="14.4" hidden="false" customHeight="false" outlineLevel="0" collapsed="false">
      <c r="B1147" s="199"/>
    </row>
    <row r="1148" s="35" customFormat="true" ht="14.4" hidden="false" customHeight="false" outlineLevel="0" collapsed="false">
      <c r="B1148" s="199"/>
    </row>
    <row r="1149" s="35" customFormat="true" ht="14.4" hidden="false" customHeight="false" outlineLevel="0" collapsed="false">
      <c r="B1149" s="199"/>
    </row>
    <row r="1150" s="35" customFormat="true" ht="14.4" hidden="false" customHeight="false" outlineLevel="0" collapsed="false">
      <c r="B1150" s="199"/>
    </row>
    <row r="1151" s="35" customFormat="true" ht="14.4" hidden="false" customHeight="false" outlineLevel="0" collapsed="false">
      <c r="B1151" s="199"/>
    </row>
    <row r="1152" s="35" customFormat="true" ht="14.4" hidden="false" customHeight="false" outlineLevel="0" collapsed="false">
      <c r="B1152" s="199"/>
    </row>
    <row r="1153" s="35" customFormat="true" ht="14.4" hidden="false" customHeight="false" outlineLevel="0" collapsed="false">
      <c r="B1153" s="199"/>
    </row>
    <row r="1154" s="35" customFormat="true" ht="14.4" hidden="false" customHeight="false" outlineLevel="0" collapsed="false">
      <c r="B1154" s="199"/>
    </row>
    <row r="1155" s="35" customFormat="true" ht="14.4" hidden="false" customHeight="false" outlineLevel="0" collapsed="false">
      <c r="B1155" s="199"/>
    </row>
    <row r="1156" s="35" customFormat="true" ht="14.4" hidden="false" customHeight="false" outlineLevel="0" collapsed="false">
      <c r="B1156" s="199"/>
    </row>
    <row r="1157" s="35" customFormat="true" ht="14.4" hidden="false" customHeight="false" outlineLevel="0" collapsed="false">
      <c r="B1157" s="199"/>
    </row>
    <row r="1158" s="35" customFormat="true" ht="14.4" hidden="false" customHeight="false" outlineLevel="0" collapsed="false">
      <c r="B1158" s="199"/>
    </row>
    <row r="1159" s="35" customFormat="true" ht="14.4" hidden="false" customHeight="false" outlineLevel="0" collapsed="false">
      <c r="B1159" s="199"/>
    </row>
    <row r="1160" s="35" customFormat="true" ht="14.4" hidden="false" customHeight="false" outlineLevel="0" collapsed="false">
      <c r="B1160" s="199"/>
    </row>
    <row r="1161" s="35" customFormat="true" ht="14.4" hidden="false" customHeight="false" outlineLevel="0" collapsed="false">
      <c r="B1161" s="199"/>
    </row>
    <row r="1162" s="35" customFormat="true" ht="14.4" hidden="false" customHeight="false" outlineLevel="0" collapsed="false">
      <c r="B1162" s="199"/>
    </row>
    <row r="1163" s="35" customFormat="true" ht="14.4" hidden="false" customHeight="false" outlineLevel="0" collapsed="false">
      <c r="B1163" s="199"/>
    </row>
    <row r="1164" s="35" customFormat="true" ht="14.4" hidden="false" customHeight="false" outlineLevel="0" collapsed="false">
      <c r="B1164" s="199"/>
    </row>
    <row r="1165" s="35" customFormat="true" ht="14.4" hidden="false" customHeight="false" outlineLevel="0" collapsed="false">
      <c r="B1165" s="199"/>
    </row>
    <row r="1166" s="35" customFormat="true" ht="14.4" hidden="false" customHeight="false" outlineLevel="0" collapsed="false">
      <c r="B1166" s="199"/>
    </row>
    <row r="1167" s="35" customFormat="true" ht="14.4" hidden="false" customHeight="false" outlineLevel="0" collapsed="false">
      <c r="B1167" s="199"/>
    </row>
    <row r="1168" s="35" customFormat="true" ht="14.4" hidden="false" customHeight="false" outlineLevel="0" collapsed="false">
      <c r="B1168" s="199"/>
    </row>
    <row r="1169" s="35" customFormat="true" ht="14.4" hidden="false" customHeight="false" outlineLevel="0" collapsed="false">
      <c r="B1169" s="199"/>
    </row>
    <row r="1170" s="35" customFormat="true" ht="14.4" hidden="false" customHeight="false" outlineLevel="0" collapsed="false">
      <c r="B1170" s="199"/>
    </row>
    <row r="1171" s="35" customFormat="true" ht="14.4" hidden="false" customHeight="false" outlineLevel="0" collapsed="false">
      <c r="B1171" s="199"/>
    </row>
    <row r="1172" s="35" customFormat="true" ht="14.4" hidden="false" customHeight="false" outlineLevel="0" collapsed="false">
      <c r="B1172" s="199"/>
    </row>
    <row r="1173" s="35" customFormat="true" ht="14.4" hidden="false" customHeight="false" outlineLevel="0" collapsed="false">
      <c r="B1173" s="199"/>
    </row>
    <row r="1174" s="35" customFormat="true" ht="14.4" hidden="false" customHeight="false" outlineLevel="0" collapsed="false">
      <c r="B1174" s="199"/>
    </row>
    <row r="1175" s="35" customFormat="true" ht="14.4" hidden="false" customHeight="false" outlineLevel="0" collapsed="false">
      <c r="B1175" s="199"/>
    </row>
    <row r="1176" s="35" customFormat="true" ht="14.4" hidden="false" customHeight="false" outlineLevel="0" collapsed="false">
      <c r="B1176" s="199"/>
    </row>
    <row r="1177" s="35" customFormat="true" ht="14.4" hidden="false" customHeight="false" outlineLevel="0" collapsed="false">
      <c r="B1177" s="199"/>
    </row>
    <row r="1178" s="35" customFormat="true" ht="14.4" hidden="false" customHeight="false" outlineLevel="0" collapsed="false">
      <c r="B1178" s="199"/>
    </row>
    <row r="1179" s="35" customFormat="true" ht="14.4" hidden="false" customHeight="false" outlineLevel="0" collapsed="false">
      <c r="B1179" s="199"/>
    </row>
    <row r="1180" s="35" customFormat="true" ht="14.4" hidden="false" customHeight="false" outlineLevel="0" collapsed="false">
      <c r="B1180" s="199"/>
    </row>
    <row r="1181" s="35" customFormat="true" ht="14.4" hidden="false" customHeight="false" outlineLevel="0" collapsed="false">
      <c r="B1181" s="199"/>
    </row>
    <row r="1182" s="35" customFormat="true" ht="14.4" hidden="false" customHeight="false" outlineLevel="0" collapsed="false">
      <c r="B1182" s="199"/>
    </row>
    <row r="1183" s="35" customFormat="true" ht="14.4" hidden="false" customHeight="false" outlineLevel="0" collapsed="false">
      <c r="B1183" s="199"/>
    </row>
    <row r="1184" s="35" customFormat="true" ht="14.4" hidden="false" customHeight="false" outlineLevel="0" collapsed="false">
      <c r="B1184" s="199"/>
    </row>
    <row r="1185" s="35" customFormat="true" ht="14.4" hidden="false" customHeight="false" outlineLevel="0" collapsed="false">
      <c r="B1185" s="199"/>
    </row>
    <row r="1186" s="35" customFormat="true" ht="14.4" hidden="false" customHeight="false" outlineLevel="0" collapsed="false">
      <c r="B1186" s="199"/>
    </row>
    <row r="1187" s="35" customFormat="true" ht="14.4" hidden="false" customHeight="false" outlineLevel="0" collapsed="false">
      <c r="B1187" s="199"/>
    </row>
    <row r="1188" s="35" customFormat="true" ht="14.4" hidden="false" customHeight="false" outlineLevel="0" collapsed="false">
      <c r="B1188" s="199"/>
    </row>
    <row r="1189" s="35" customFormat="true" ht="14.4" hidden="false" customHeight="false" outlineLevel="0" collapsed="false">
      <c r="B1189" s="199"/>
    </row>
    <row r="1190" s="35" customFormat="true" ht="14.4" hidden="false" customHeight="false" outlineLevel="0" collapsed="false">
      <c r="B1190" s="199"/>
    </row>
    <row r="1191" s="35" customFormat="true" ht="14.4" hidden="false" customHeight="false" outlineLevel="0" collapsed="false">
      <c r="B1191" s="199"/>
    </row>
    <row r="1192" s="35" customFormat="true" ht="14.4" hidden="false" customHeight="false" outlineLevel="0" collapsed="false">
      <c r="B1192" s="199"/>
    </row>
    <row r="1193" s="35" customFormat="true" ht="14.4" hidden="false" customHeight="false" outlineLevel="0" collapsed="false">
      <c r="B1193" s="199"/>
    </row>
    <row r="1194" s="35" customFormat="true" ht="14.4" hidden="false" customHeight="false" outlineLevel="0" collapsed="false">
      <c r="B1194" s="199"/>
    </row>
    <row r="1195" s="35" customFormat="true" ht="14.4" hidden="false" customHeight="false" outlineLevel="0" collapsed="false">
      <c r="B1195" s="199"/>
    </row>
    <row r="1196" s="35" customFormat="true" ht="14.4" hidden="false" customHeight="false" outlineLevel="0" collapsed="false">
      <c r="B1196" s="199"/>
    </row>
    <row r="1197" s="35" customFormat="true" ht="14.4" hidden="false" customHeight="false" outlineLevel="0" collapsed="false">
      <c r="B1197" s="199"/>
    </row>
    <row r="1198" s="35" customFormat="true" ht="14.4" hidden="false" customHeight="false" outlineLevel="0" collapsed="false">
      <c r="B1198" s="199"/>
    </row>
    <row r="1199" s="35" customFormat="true" ht="14.4" hidden="false" customHeight="false" outlineLevel="0" collapsed="false">
      <c r="B1199" s="199"/>
    </row>
    <row r="1200" s="35" customFormat="true" ht="14.4" hidden="false" customHeight="false" outlineLevel="0" collapsed="false">
      <c r="B1200" s="199"/>
    </row>
    <row r="1201" s="35" customFormat="true" ht="14.4" hidden="false" customHeight="false" outlineLevel="0" collapsed="false">
      <c r="B1201" s="199"/>
    </row>
    <row r="1202" s="35" customFormat="true" ht="14.4" hidden="false" customHeight="false" outlineLevel="0" collapsed="false">
      <c r="B1202" s="199"/>
    </row>
    <row r="1203" s="35" customFormat="true" ht="14.4" hidden="false" customHeight="false" outlineLevel="0" collapsed="false">
      <c r="B1203" s="199"/>
    </row>
    <row r="1204" s="35" customFormat="true" ht="14.4" hidden="false" customHeight="false" outlineLevel="0" collapsed="false">
      <c r="B1204" s="199"/>
    </row>
    <row r="1205" s="35" customFormat="true" ht="14.4" hidden="false" customHeight="false" outlineLevel="0" collapsed="false">
      <c r="B1205" s="199"/>
    </row>
    <row r="1206" s="35" customFormat="true" ht="14.4" hidden="false" customHeight="false" outlineLevel="0" collapsed="false">
      <c r="B1206" s="199"/>
    </row>
    <row r="1207" s="35" customFormat="true" ht="14.4" hidden="false" customHeight="false" outlineLevel="0" collapsed="false">
      <c r="B1207" s="199"/>
    </row>
    <row r="1208" s="35" customFormat="true" ht="14.4" hidden="false" customHeight="false" outlineLevel="0" collapsed="false">
      <c r="B1208" s="199"/>
    </row>
    <row r="1209" s="35" customFormat="true" ht="14.4" hidden="false" customHeight="false" outlineLevel="0" collapsed="false">
      <c r="B1209" s="199"/>
    </row>
    <row r="1210" s="35" customFormat="true" ht="14.4" hidden="false" customHeight="false" outlineLevel="0" collapsed="false">
      <c r="B1210" s="199"/>
    </row>
    <row r="1211" s="35" customFormat="true" ht="14.4" hidden="false" customHeight="false" outlineLevel="0" collapsed="false">
      <c r="B1211" s="199"/>
    </row>
    <row r="1212" s="35" customFormat="true" ht="14.4" hidden="false" customHeight="false" outlineLevel="0" collapsed="false">
      <c r="B1212" s="199"/>
    </row>
    <row r="1213" s="35" customFormat="true" ht="14.4" hidden="false" customHeight="false" outlineLevel="0" collapsed="false">
      <c r="B1213" s="199"/>
    </row>
    <row r="1214" s="35" customFormat="true" ht="14.4" hidden="false" customHeight="false" outlineLevel="0" collapsed="false">
      <c r="B1214" s="199"/>
    </row>
    <row r="1215" s="35" customFormat="true" ht="14.4" hidden="false" customHeight="false" outlineLevel="0" collapsed="false">
      <c r="B1215" s="199"/>
    </row>
    <row r="1216" s="35" customFormat="true" ht="14.4" hidden="false" customHeight="false" outlineLevel="0" collapsed="false">
      <c r="B1216" s="199"/>
    </row>
    <row r="1217" s="35" customFormat="true" ht="14.4" hidden="false" customHeight="false" outlineLevel="0" collapsed="false">
      <c r="B1217" s="199"/>
    </row>
    <row r="1218" s="35" customFormat="true" ht="14.4" hidden="false" customHeight="false" outlineLevel="0" collapsed="false">
      <c r="B1218" s="199"/>
    </row>
    <row r="1219" s="35" customFormat="true" ht="14.4" hidden="false" customHeight="false" outlineLevel="0" collapsed="false">
      <c r="B1219" s="199"/>
    </row>
    <row r="1220" s="35" customFormat="true" ht="14.4" hidden="false" customHeight="false" outlineLevel="0" collapsed="false">
      <c r="B1220" s="199"/>
    </row>
    <row r="1221" s="35" customFormat="true" ht="14.4" hidden="false" customHeight="false" outlineLevel="0" collapsed="false">
      <c r="B1221" s="199"/>
    </row>
    <row r="1222" s="35" customFormat="true" ht="14.4" hidden="false" customHeight="false" outlineLevel="0" collapsed="false">
      <c r="B1222" s="199"/>
    </row>
    <row r="1223" s="35" customFormat="true" ht="14.4" hidden="false" customHeight="false" outlineLevel="0" collapsed="false">
      <c r="B1223" s="199"/>
    </row>
    <row r="1224" s="35" customFormat="true" ht="14.4" hidden="false" customHeight="false" outlineLevel="0" collapsed="false">
      <c r="B1224" s="199"/>
    </row>
    <row r="1225" s="35" customFormat="true" ht="14.4" hidden="false" customHeight="false" outlineLevel="0" collapsed="false">
      <c r="B1225" s="199"/>
    </row>
    <row r="1226" s="35" customFormat="true" ht="14.4" hidden="false" customHeight="false" outlineLevel="0" collapsed="false">
      <c r="B1226" s="199"/>
    </row>
    <row r="1227" s="35" customFormat="true" ht="14.4" hidden="false" customHeight="false" outlineLevel="0" collapsed="false">
      <c r="B1227" s="199"/>
    </row>
    <row r="1228" s="35" customFormat="true" ht="14.4" hidden="false" customHeight="false" outlineLevel="0" collapsed="false">
      <c r="B1228" s="199"/>
    </row>
    <row r="1229" s="35" customFormat="true" ht="14.4" hidden="false" customHeight="false" outlineLevel="0" collapsed="false">
      <c r="B1229" s="199"/>
    </row>
    <row r="1230" s="35" customFormat="true" ht="14.4" hidden="false" customHeight="false" outlineLevel="0" collapsed="false">
      <c r="B1230" s="199"/>
    </row>
    <row r="1231" s="35" customFormat="true" ht="14.4" hidden="false" customHeight="false" outlineLevel="0" collapsed="false">
      <c r="B1231" s="199"/>
    </row>
    <row r="1232" s="35" customFormat="true" ht="14.4" hidden="false" customHeight="false" outlineLevel="0" collapsed="false">
      <c r="B1232" s="199"/>
    </row>
    <row r="1233" s="35" customFormat="true" ht="14.4" hidden="false" customHeight="false" outlineLevel="0" collapsed="false">
      <c r="B1233" s="199"/>
    </row>
    <row r="1234" s="35" customFormat="true" ht="14.4" hidden="false" customHeight="false" outlineLevel="0" collapsed="false">
      <c r="B1234" s="199"/>
    </row>
    <row r="1235" s="35" customFormat="true" ht="14.4" hidden="false" customHeight="false" outlineLevel="0" collapsed="false">
      <c r="B1235" s="199"/>
    </row>
    <row r="1236" s="35" customFormat="true" ht="14.4" hidden="false" customHeight="false" outlineLevel="0" collapsed="false">
      <c r="B1236" s="199"/>
    </row>
    <row r="1237" s="35" customFormat="true" ht="14.4" hidden="false" customHeight="false" outlineLevel="0" collapsed="false">
      <c r="B1237" s="199"/>
    </row>
    <row r="1238" s="35" customFormat="true" ht="14.4" hidden="false" customHeight="false" outlineLevel="0" collapsed="false">
      <c r="B1238" s="199"/>
    </row>
    <row r="1239" s="35" customFormat="true" ht="14.4" hidden="false" customHeight="false" outlineLevel="0" collapsed="false">
      <c r="B1239" s="199"/>
    </row>
    <row r="1240" s="35" customFormat="true" ht="14.4" hidden="false" customHeight="false" outlineLevel="0" collapsed="false">
      <c r="B1240" s="199"/>
    </row>
    <row r="1241" s="35" customFormat="true" ht="14.4" hidden="false" customHeight="false" outlineLevel="0" collapsed="false">
      <c r="B1241" s="199"/>
    </row>
    <row r="1242" s="35" customFormat="true" ht="14.4" hidden="false" customHeight="false" outlineLevel="0" collapsed="false">
      <c r="B1242" s="199"/>
    </row>
    <row r="1243" s="35" customFormat="true" ht="14.4" hidden="false" customHeight="false" outlineLevel="0" collapsed="false">
      <c r="B1243" s="199"/>
    </row>
    <row r="1244" s="35" customFormat="true" ht="14.4" hidden="false" customHeight="false" outlineLevel="0" collapsed="false">
      <c r="B1244" s="199"/>
    </row>
    <row r="1245" s="35" customFormat="true" ht="14.4" hidden="false" customHeight="false" outlineLevel="0" collapsed="false">
      <c r="B1245" s="199"/>
    </row>
    <row r="1246" s="35" customFormat="true" ht="14.4" hidden="false" customHeight="false" outlineLevel="0" collapsed="false">
      <c r="B1246" s="199"/>
    </row>
    <row r="1247" s="35" customFormat="true" ht="14.4" hidden="false" customHeight="false" outlineLevel="0" collapsed="false">
      <c r="B1247" s="199"/>
    </row>
    <row r="1248" s="35" customFormat="true" ht="14.4" hidden="false" customHeight="false" outlineLevel="0" collapsed="false">
      <c r="B1248" s="199"/>
    </row>
    <row r="1249" s="35" customFormat="true" ht="14.4" hidden="false" customHeight="false" outlineLevel="0" collapsed="false">
      <c r="B1249" s="199"/>
    </row>
    <row r="1250" s="35" customFormat="true" ht="14.4" hidden="false" customHeight="false" outlineLevel="0" collapsed="false">
      <c r="B1250" s="199"/>
    </row>
    <row r="1251" s="35" customFormat="true" ht="14.4" hidden="false" customHeight="false" outlineLevel="0" collapsed="false">
      <c r="B1251" s="199"/>
    </row>
    <row r="1252" s="35" customFormat="true" ht="14.4" hidden="false" customHeight="false" outlineLevel="0" collapsed="false">
      <c r="B1252" s="199"/>
    </row>
    <row r="1253" s="35" customFormat="true" ht="14.4" hidden="false" customHeight="false" outlineLevel="0" collapsed="false">
      <c r="B1253" s="199"/>
    </row>
    <row r="1254" s="35" customFormat="true" ht="14.4" hidden="false" customHeight="false" outlineLevel="0" collapsed="false">
      <c r="B1254" s="199"/>
    </row>
    <row r="1255" s="35" customFormat="true" ht="14.4" hidden="false" customHeight="false" outlineLevel="0" collapsed="false">
      <c r="B1255" s="199"/>
    </row>
    <row r="1256" s="35" customFormat="true" ht="14.4" hidden="false" customHeight="false" outlineLevel="0" collapsed="false">
      <c r="B1256" s="199"/>
    </row>
    <row r="1257" s="35" customFormat="true" ht="14.4" hidden="false" customHeight="false" outlineLevel="0" collapsed="false">
      <c r="B1257" s="199"/>
    </row>
    <row r="1258" s="35" customFormat="true" ht="14.4" hidden="false" customHeight="false" outlineLevel="0" collapsed="false">
      <c r="B1258" s="199"/>
    </row>
    <row r="1259" s="35" customFormat="true" ht="14.4" hidden="false" customHeight="false" outlineLevel="0" collapsed="false">
      <c r="B1259" s="199"/>
    </row>
    <row r="1260" s="35" customFormat="true" ht="14.4" hidden="false" customHeight="false" outlineLevel="0" collapsed="false">
      <c r="B1260" s="199"/>
    </row>
    <row r="1261" s="35" customFormat="true" ht="14.4" hidden="false" customHeight="false" outlineLevel="0" collapsed="false">
      <c r="B1261" s="199"/>
    </row>
    <row r="1262" s="35" customFormat="true" ht="14.4" hidden="false" customHeight="false" outlineLevel="0" collapsed="false">
      <c r="B1262" s="199"/>
    </row>
    <row r="1263" s="35" customFormat="true" ht="14.4" hidden="false" customHeight="false" outlineLevel="0" collapsed="false">
      <c r="B1263" s="199"/>
    </row>
    <row r="1264" s="35" customFormat="true" ht="14.4" hidden="false" customHeight="false" outlineLevel="0" collapsed="false">
      <c r="B1264" s="199"/>
    </row>
    <row r="1265" s="35" customFormat="true" ht="14.4" hidden="false" customHeight="false" outlineLevel="0" collapsed="false">
      <c r="B1265" s="199"/>
    </row>
    <row r="1266" s="35" customFormat="true" ht="14.4" hidden="false" customHeight="false" outlineLevel="0" collapsed="false">
      <c r="B1266" s="199"/>
    </row>
    <row r="1267" s="35" customFormat="true" ht="14.4" hidden="false" customHeight="false" outlineLevel="0" collapsed="false">
      <c r="B1267" s="199"/>
    </row>
    <row r="1268" s="35" customFormat="true" ht="14.4" hidden="false" customHeight="false" outlineLevel="0" collapsed="false">
      <c r="B1268" s="199"/>
    </row>
    <row r="1269" s="35" customFormat="true" ht="14.4" hidden="false" customHeight="false" outlineLevel="0" collapsed="false">
      <c r="B1269" s="199"/>
    </row>
    <row r="1270" s="35" customFormat="true" ht="14.4" hidden="false" customHeight="false" outlineLevel="0" collapsed="false">
      <c r="B1270" s="199"/>
    </row>
    <row r="1271" s="35" customFormat="true" ht="14.4" hidden="false" customHeight="false" outlineLevel="0" collapsed="false">
      <c r="B1271" s="199"/>
    </row>
    <row r="1272" s="35" customFormat="true" ht="14.4" hidden="false" customHeight="false" outlineLevel="0" collapsed="false">
      <c r="B1272" s="199"/>
    </row>
    <row r="1273" s="35" customFormat="true" ht="14.4" hidden="false" customHeight="false" outlineLevel="0" collapsed="false">
      <c r="B1273" s="199"/>
    </row>
    <row r="1274" s="35" customFormat="true" ht="14.4" hidden="false" customHeight="false" outlineLevel="0" collapsed="false">
      <c r="B1274" s="19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N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875" defaultRowHeight="14.4" zeroHeight="false" outlineLevelRow="0" outlineLevelCol="0"/>
  <cols>
    <col collapsed="false" customWidth="true" hidden="false" outlineLevel="0" max="2" min="2" style="0" width="34.56"/>
  </cols>
  <sheetData>
    <row r="2" customFormat="false" ht="14.4" hidden="false" customHeight="false" outlineLevel="0" collapsed="false">
      <c r="B2" s="204" t="s">
        <v>312</v>
      </c>
      <c r="C2" s="205"/>
      <c r="D2" s="205"/>
      <c r="E2" s="206"/>
      <c r="F2" s="206"/>
      <c r="G2" s="206"/>
      <c r="H2" s="206"/>
      <c r="I2" s="206"/>
      <c r="J2" s="206"/>
      <c r="K2" s="206"/>
      <c r="L2" s="206"/>
      <c r="M2" s="206"/>
      <c r="N2" s="206"/>
    </row>
    <row r="3" customFormat="false" ht="14.4" hidden="false" customHeight="false" outlineLevel="0" collapsed="false">
      <c r="N3" s="0" t="s">
        <v>313</v>
      </c>
    </row>
    <row r="4" customFormat="false" ht="14.4" hidden="false" customHeight="false" outlineLevel="0" collapsed="false">
      <c r="B4" s="207" t="s">
        <v>314</v>
      </c>
      <c r="C4" s="208" t="n">
        <v>2014</v>
      </c>
      <c r="D4" s="208" t="n">
        <f aca="false">C4+1</f>
        <v>2015</v>
      </c>
      <c r="E4" s="208" t="n">
        <f aca="false">D4+1</f>
        <v>2016</v>
      </c>
      <c r="F4" s="208" t="n">
        <f aca="false">E4+1</f>
        <v>2017</v>
      </c>
      <c r="G4" s="208" t="n">
        <f aca="false">F4+1</f>
        <v>2018</v>
      </c>
      <c r="H4" s="208" t="n">
        <f aca="false">G4+1</f>
        <v>2019</v>
      </c>
      <c r="I4" s="208" t="n">
        <f aca="false">H4+1</f>
        <v>2020</v>
      </c>
      <c r="J4" s="208" t="n">
        <f aca="false">I4+1</f>
        <v>2021</v>
      </c>
      <c r="K4" s="208" t="n">
        <f aca="false">J4+1</f>
        <v>2022</v>
      </c>
      <c r="L4" s="208" t="n">
        <f aca="false">K4+1</f>
        <v>2023</v>
      </c>
      <c r="M4" s="208" t="n">
        <f aca="false">L4+1</f>
        <v>2024</v>
      </c>
      <c r="N4" s="208" t="n">
        <f aca="false">M4+1</f>
        <v>2025</v>
      </c>
    </row>
    <row r="5" s="16" customFormat="true" ht="4.05" hidden="false" customHeight="true" outlineLevel="0" collapsed="false"/>
    <row r="6" customFormat="false" ht="14.4" hidden="false" customHeight="false" outlineLevel="0" collapsed="false">
      <c r="B6" s="0" t="s">
        <v>315</v>
      </c>
      <c r="C6" s="147" t="n">
        <v>87.7</v>
      </c>
      <c r="D6" s="147" t="n">
        <v>82.06</v>
      </c>
      <c r="E6" s="147" t="n">
        <v>59</v>
      </c>
      <c r="F6" s="147" t="n">
        <v>53.2</v>
      </c>
      <c r="G6" s="147" t="n">
        <v>41.3</v>
      </c>
      <c r="H6" s="147" t="n">
        <v>40</v>
      </c>
      <c r="I6" s="147" t="n">
        <v>38.85</v>
      </c>
      <c r="J6" s="147" t="n">
        <v>33.5</v>
      </c>
      <c r="K6" s="147" t="n">
        <v>36.41</v>
      </c>
      <c r="L6" s="147" t="n">
        <v>24.65</v>
      </c>
      <c r="M6" s="147" t="n">
        <v>11.1</v>
      </c>
      <c r="N6" s="147" t="n">
        <v>10.88</v>
      </c>
    </row>
    <row r="7" customFormat="false" ht="14.4" hidden="false" customHeight="false" outlineLevel="0" collapsed="false">
      <c r="C7" s="209"/>
      <c r="D7" s="210" t="n">
        <f aca="false">LN(D6/C6)</f>
        <v>-0.0664712123640973</v>
      </c>
      <c r="E7" s="210" t="n">
        <f aca="false">LN(E6/D6)</f>
        <v>-0.329913243108321</v>
      </c>
      <c r="F7" s="210" t="n">
        <f aca="false">LN(F6/E6)</f>
        <v>-0.103479047558121</v>
      </c>
      <c r="G7" s="210" t="n">
        <f aca="false">LN(G6/F6)</f>
        <v>-0.253195896380612</v>
      </c>
      <c r="H7" s="210" t="n">
        <f aca="false">LN(H6/G6)</f>
        <v>-0.0319830458530507</v>
      </c>
      <c r="I7" s="210" t="n">
        <f aca="false">LN(I6/H6)</f>
        <v>-0.0291713773002798</v>
      </c>
      <c r="J7" s="210" t="n">
        <f aca="false">LN(J6/I6)</f>
        <v>-0.148162637982636</v>
      </c>
      <c r="K7" s="210" t="n">
        <f aca="false">LN(K6/J6)</f>
        <v>0.0832980233563213</v>
      </c>
      <c r="L7" s="210" t="n">
        <f aca="false">LN(L6/K6)</f>
        <v>-0.390066561698643</v>
      </c>
      <c r="M7" s="210" t="n">
        <f aca="false">LN(M6/L6)</f>
        <v>-0.797831792170411</v>
      </c>
      <c r="N7" s="210" t="n">
        <f aca="false">LN(N6/M6)</f>
        <v>-0.0200188668904918</v>
      </c>
    </row>
    <row r="8" customFormat="false" ht="14.4" hidden="false" customHeight="false" outlineLevel="0" collapsed="false">
      <c r="B8" s="0" t="s">
        <v>316</v>
      </c>
      <c r="C8" s="211" t="n">
        <v>33</v>
      </c>
      <c r="D8" s="211" t="n">
        <v>35</v>
      </c>
      <c r="E8" s="211" t="n">
        <v>34</v>
      </c>
      <c r="F8" s="211" t="n">
        <v>36.8</v>
      </c>
      <c r="G8" s="211" t="n">
        <v>37.2</v>
      </c>
      <c r="H8" s="211" t="n">
        <v>41.6</v>
      </c>
      <c r="I8" s="211" t="n">
        <v>40.9</v>
      </c>
      <c r="J8" s="211" t="n">
        <v>37.2</v>
      </c>
      <c r="K8" s="211" t="n">
        <v>42.74</v>
      </c>
      <c r="L8" s="211" t="n">
        <v>47.85</v>
      </c>
      <c r="M8" s="211" t="n">
        <v>50.3</v>
      </c>
      <c r="N8" s="211" t="n">
        <v>53.12</v>
      </c>
    </row>
    <row r="9" customFormat="false" ht="14.4" hidden="false" customHeight="false" outlineLevel="0" collapsed="false">
      <c r="C9" s="209"/>
      <c r="D9" s="210" t="n">
        <f aca="false">LN(D8/C8)</f>
        <v>0.0588405000229334</v>
      </c>
      <c r="E9" s="210" t="n">
        <f aca="false">LN(E8/D8)</f>
        <v>-0.0289875368732523</v>
      </c>
      <c r="F9" s="210" t="n">
        <f aca="false">LN(F8/E8)</f>
        <v>0.0791373205587238</v>
      </c>
      <c r="G9" s="210" t="n">
        <f aca="false">LN(G8/F8)</f>
        <v>0.0108109161042157</v>
      </c>
      <c r="H9" s="210" t="n">
        <f aca="false">LN(H8/G8)</f>
        <v>0.111791405988117</v>
      </c>
      <c r="I9" s="210" t="n">
        <f aca="false">LN(I8/H8)</f>
        <v>-0.0169701042184616</v>
      </c>
      <c r="J9" s="210" t="n">
        <f aca="false">LN(J8/I8)</f>
        <v>-0.0948213017696551</v>
      </c>
      <c r="K9" s="210" t="n">
        <f aca="false">LN(K8/J8)</f>
        <v>0.138826488611901</v>
      </c>
      <c r="L9" s="210" t="n">
        <f aca="false">LN(L8/K8)</f>
        <v>0.112935868007962</v>
      </c>
      <c r="M9" s="210" t="n">
        <f aca="false">LN(M8/L8)</f>
        <v>0.0499339592067303</v>
      </c>
      <c r="N9" s="210" t="n">
        <f aca="false">LN(N8/M8)</f>
        <v>0.054548428062485</v>
      </c>
    </row>
    <row r="10" customFormat="false" ht="14.4" hidden="false" customHeight="false" outlineLevel="0" collapsed="false">
      <c r="B10" s="0" t="s">
        <v>317</v>
      </c>
      <c r="C10" s="147" t="n">
        <f aca="false">C8+C6</f>
        <v>120.7</v>
      </c>
      <c r="D10" s="147" t="n">
        <f aca="false">D8+D6</f>
        <v>117.06</v>
      </c>
      <c r="E10" s="147" t="n">
        <f aca="false">E8+E6</f>
        <v>93</v>
      </c>
      <c r="F10" s="147" t="n">
        <f aca="false">F8+F6</f>
        <v>90</v>
      </c>
      <c r="G10" s="147" t="n">
        <f aca="false">G8+G6</f>
        <v>78.5</v>
      </c>
      <c r="H10" s="147" t="n">
        <f aca="false">H8+H6</f>
        <v>81.6</v>
      </c>
      <c r="I10" s="147" t="n">
        <f aca="false">I8+I6</f>
        <v>79.75</v>
      </c>
      <c r="J10" s="147" t="n">
        <f aca="false">J8+J6</f>
        <v>70.7</v>
      </c>
      <c r="K10" s="147" t="n">
        <f aca="false">K8+K6</f>
        <v>79.15</v>
      </c>
      <c r="L10" s="147" t="n">
        <f aca="false">L8+L6</f>
        <v>72.5</v>
      </c>
      <c r="M10" s="147" t="n">
        <f aca="false">M8+M6</f>
        <v>61.4</v>
      </c>
      <c r="N10" s="147" t="n">
        <f aca="false">N8+N6</f>
        <v>64</v>
      </c>
    </row>
    <row r="11" customFormat="false" ht="14.4" hidden="false" customHeight="false" outlineLevel="0" collapsed="false">
      <c r="C11" s="209"/>
      <c r="D11" s="210" t="n">
        <f aca="false">LN(D10/C10)</f>
        <v>-0.0306215042404109</v>
      </c>
      <c r="E11" s="210" t="n">
        <f aca="false">LN(E10/D10)</f>
        <v>-0.230087130709819</v>
      </c>
      <c r="F11" s="210" t="n">
        <f aca="false">LN(F10/E10)</f>
        <v>-0.0327898228229908</v>
      </c>
      <c r="G11" s="210" t="n">
        <f aca="false">LN(G10/F10)</f>
        <v>-0.136711045541902</v>
      </c>
      <c r="H11" s="210" t="n">
        <f aca="false">LN(H10/G10)</f>
        <v>0.0387306371816986</v>
      </c>
      <c r="I11" s="210" t="n">
        <f aca="false">LN(I10/H10)</f>
        <v>-0.0229325203051073</v>
      </c>
      <c r="J11" s="210" t="n">
        <f aca="false">LN(J10/I10)</f>
        <v>-0.120451168762427</v>
      </c>
      <c r="K11" s="210" t="n">
        <f aca="false">LN(K10/J10)</f>
        <v>0.112899213424494</v>
      </c>
      <c r="L11" s="210" t="n">
        <f aca="false">LN(L10/K10)</f>
        <v>-0.0877582244663921</v>
      </c>
      <c r="M11" s="210" t="n">
        <f aca="false">LN(M10/L10)</f>
        <v>-0.166176726707532</v>
      </c>
      <c r="N11" s="210" t="n">
        <f aca="false">LN(N10/M10)</f>
        <v>0.0414732482065751</v>
      </c>
    </row>
    <row r="12" customFormat="false" ht="14.4" hidden="false" customHeight="false" outlineLevel="0" collapsed="false">
      <c r="C12" s="212"/>
      <c r="D12" s="212"/>
      <c r="E12" s="212"/>
      <c r="F12" s="212"/>
      <c r="G12" s="212"/>
      <c r="H12" s="212"/>
      <c r="I12" s="212"/>
      <c r="J12" s="212"/>
      <c r="K12" s="212"/>
      <c r="L12" s="212"/>
      <c r="M12" s="212"/>
      <c r="N12" s="212"/>
    </row>
    <row r="13" customFormat="false" ht="14.4" hidden="false" customHeight="false" outlineLevel="0" collapsed="false">
      <c r="B13" s="213" t="s">
        <v>318</v>
      </c>
      <c r="C13" s="214" t="n">
        <f aca="false">_xlfn.RRI(10,C8,N8)</f>
        <v>0.0487558893465079</v>
      </c>
    </row>
    <row r="15" customFormat="false" ht="14.4" hidden="false" customHeight="false" outlineLevel="0" collapsed="false">
      <c r="B15" s="0" t="s">
        <v>319</v>
      </c>
      <c r="C15" s="0" t="s">
        <v>320</v>
      </c>
      <c r="D15" s="0" t="s">
        <v>321</v>
      </c>
      <c r="E15" s="0" t="s">
        <v>322</v>
      </c>
    </row>
    <row r="16" customFormat="false" ht="14.4" hidden="false" customHeight="false" outlineLevel="0" collapsed="false">
      <c r="B16" s="0" t="s">
        <v>323</v>
      </c>
      <c r="C16" s="0" t="s">
        <v>324</v>
      </c>
      <c r="D16" s="0" t="s">
        <v>325</v>
      </c>
      <c r="E16" s="0" t="s">
        <v>326</v>
      </c>
    </row>
    <row r="17" customFormat="false" ht="14.4" hidden="false" customHeight="false" outlineLevel="0" collapsed="false">
      <c r="B17" s="0" t="s">
        <v>323</v>
      </c>
      <c r="C17" s="0" t="s">
        <v>327</v>
      </c>
      <c r="D17" s="0" t="s">
        <v>328</v>
      </c>
      <c r="E17" s="0" t="s">
        <v>326</v>
      </c>
    </row>
    <row r="18" customFormat="false" ht="14.4" hidden="false" customHeight="false" outlineLevel="0" collapsed="false">
      <c r="B18" s="0" t="s">
        <v>323</v>
      </c>
      <c r="C18" s="0" t="s">
        <v>329</v>
      </c>
      <c r="D18" s="0" t="s">
        <v>330</v>
      </c>
      <c r="E18" s="0" t="s">
        <v>326</v>
      </c>
    </row>
    <row r="19" customFormat="false" ht="14.4" hidden="false" customHeight="false" outlineLevel="0" collapsed="false">
      <c r="B19" s="0" t="s">
        <v>323</v>
      </c>
      <c r="C19" s="0" t="s">
        <v>331</v>
      </c>
      <c r="D19" s="0" t="s">
        <v>332</v>
      </c>
      <c r="E19" s="0" t="s">
        <v>333</v>
      </c>
    </row>
    <row r="20" customFormat="false" ht="14.4" hidden="false" customHeight="false" outlineLevel="0" collapsed="false">
      <c r="B20" s="0" t="s">
        <v>323</v>
      </c>
      <c r="C20" s="0" t="s">
        <v>334</v>
      </c>
      <c r="D20" s="0" t="s">
        <v>332</v>
      </c>
      <c r="E20" s="0" t="s">
        <v>333</v>
      </c>
    </row>
    <row r="21" customFormat="false" ht="14.4" hidden="false" customHeight="false" outlineLevel="0" collapsed="false">
      <c r="B21" s="0" t="s">
        <v>323</v>
      </c>
      <c r="C21" s="0" t="s">
        <v>335</v>
      </c>
      <c r="D21" s="0" t="s">
        <v>336</v>
      </c>
      <c r="E21" s="0" t="s">
        <v>333</v>
      </c>
    </row>
    <row r="22" customFormat="false" ht="14.4" hidden="false" customHeight="false" outlineLevel="0" collapsed="false">
      <c r="B22" s="0" t="s">
        <v>323</v>
      </c>
      <c r="C22" s="0" t="s">
        <v>337</v>
      </c>
      <c r="D22" s="0" t="s">
        <v>336</v>
      </c>
      <c r="E22" s="0" t="s">
        <v>338</v>
      </c>
    </row>
    <row r="23" customFormat="false" ht="14.4" hidden="false" customHeight="false" outlineLevel="0" collapsed="false">
      <c r="B23" s="0" t="s">
        <v>323</v>
      </c>
      <c r="C23" s="0" t="s">
        <v>339</v>
      </c>
      <c r="D23" s="0" t="s">
        <v>340</v>
      </c>
      <c r="E23" s="0" t="s">
        <v>341</v>
      </c>
    </row>
    <row r="24" customFormat="false" ht="14.4" hidden="false" customHeight="false" outlineLevel="0" collapsed="false">
      <c r="B24" s="0" t="s">
        <v>323</v>
      </c>
      <c r="C24" s="0" t="s">
        <v>342</v>
      </c>
      <c r="D24" s="0" t="s">
        <v>343</v>
      </c>
      <c r="E24" s="0" t="s">
        <v>344</v>
      </c>
    </row>
    <row r="25" customFormat="false" ht="14.4" hidden="false" customHeight="false" outlineLevel="0" collapsed="false">
      <c r="B25" s="0" t="s">
        <v>323</v>
      </c>
      <c r="C25" s="0" t="s">
        <v>345</v>
      </c>
      <c r="D25" s="0" t="s">
        <v>346</v>
      </c>
      <c r="E25" s="0" t="s">
        <v>347</v>
      </c>
    </row>
    <row r="26" customFormat="false" ht="14.4" hidden="false" customHeight="false" outlineLevel="0" collapsed="false">
      <c r="B26" s="0" t="s">
        <v>323</v>
      </c>
      <c r="C26" s="0" t="s">
        <v>348</v>
      </c>
      <c r="D26" s="0" t="s">
        <v>349</v>
      </c>
      <c r="E26" s="0" t="s">
        <v>350</v>
      </c>
    </row>
    <row r="27" customFormat="false" ht="14.4" hidden="false" customHeight="false" outlineLevel="0" collapsed="false">
      <c r="B27" s="0" t="s">
        <v>323</v>
      </c>
      <c r="C27" s="0" t="s">
        <v>351</v>
      </c>
      <c r="D27" s="0" t="s">
        <v>352</v>
      </c>
      <c r="E27" s="0" t="s">
        <v>353</v>
      </c>
    </row>
    <row r="28" customFormat="false" ht="14.4" hidden="false" customHeight="false" outlineLevel="0" collapsed="false">
      <c r="B28" s="0" t="s">
        <v>323</v>
      </c>
      <c r="C28" s="0" t="s">
        <v>354</v>
      </c>
      <c r="D28" s="0" t="s">
        <v>355</v>
      </c>
      <c r="E28" s="0" t="s">
        <v>356</v>
      </c>
    </row>
    <row r="29" customFormat="false" ht="14.4" hidden="false" customHeight="false" outlineLevel="0" collapsed="false">
      <c r="B29" s="0" t="s">
        <v>323</v>
      </c>
      <c r="C29" s="0" t="s">
        <v>357</v>
      </c>
      <c r="D29" s="0" t="s">
        <v>358</v>
      </c>
      <c r="E29" s="0" t="s">
        <v>359</v>
      </c>
    </row>
    <row r="30" customFormat="false" ht="14.4" hidden="false" customHeight="false" outlineLevel="0" collapsed="false">
      <c r="B30" s="0" t="s">
        <v>360</v>
      </c>
      <c r="C30" s="0" t="s">
        <v>361</v>
      </c>
      <c r="D30" s="0" t="s">
        <v>362</v>
      </c>
      <c r="E30" s="0" t="s">
        <v>363</v>
      </c>
    </row>
    <row r="31" customFormat="false" ht="14.4" hidden="false" customHeight="false" outlineLevel="0" collapsed="false">
      <c r="B31" s="0" t="s">
        <v>360</v>
      </c>
      <c r="C31" s="0" t="s">
        <v>364</v>
      </c>
      <c r="D31" s="0" t="s">
        <v>365</v>
      </c>
      <c r="E31" s="0" t="s">
        <v>363</v>
      </c>
    </row>
    <row r="32" customFormat="false" ht="14.4" hidden="false" customHeight="false" outlineLevel="0" collapsed="false">
      <c r="B32" s="0" t="s">
        <v>360</v>
      </c>
      <c r="C32" s="0" t="s">
        <v>366</v>
      </c>
      <c r="D32" s="0" t="s">
        <v>367</v>
      </c>
      <c r="E32" s="0" t="s">
        <v>363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AA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875" defaultRowHeight="14.4" zeroHeight="false" outlineLevelRow="0" outlineLevelCol="0"/>
  <cols>
    <col collapsed="false" customWidth="true" hidden="false" outlineLevel="0" max="1" min="1" style="0" width="2.77"/>
    <col collapsed="false" customWidth="true" hidden="false" outlineLevel="0" max="2" min="2" style="0" width="51.78"/>
    <col collapsed="false" customWidth="true" hidden="false" outlineLevel="0" max="4" min="3" style="215" width="10"/>
    <col collapsed="false" customWidth="true" hidden="false" outlineLevel="0" max="6" min="5" style="215" width="9.78"/>
    <col collapsed="false" customWidth="true" hidden="false" outlineLevel="0" max="7" min="7" style="215" width="10.45"/>
    <col collapsed="false" customWidth="true" hidden="false" outlineLevel="0" max="10" min="8" style="215" width="10"/>
    <col collapsed="false" customWidth="true" hidden="false" outlineLevel="0" max="12" min="11" style="215" width="10.45"/>
  </cols>
  <sheetData>
    <row r="2" customFormat="false" ht="14.4" hidden="false" customHeight="false" outlineLevel="0" collapsed="false">
      <c r="C2" s="216" t="n">
        <v>2017</v>
      </c>
      <c r="D2" s="216" t="n">
        <f aca="false">C2+1</f>
        <v>2018</v>
      </c>
      <c r="E2" s="216" t="n">
        <f aca="false">D2+1</f>
        <v>2019</v>
      </c>
      <c r="F2" s="216" t="n">
        <f aca="false">E2+1</f>
        <v>2020</v>
      </c>
      <c r="G2" s="216" t="n">
        <f aca="false">F2+1</f>
        <v>2021</v>
      </c>
      <c r="H2" s="216" t="n">
        <f aca="false">G2+1</f>
        <v>2022</v>
      </c>
      <c r="I2" s="216" t="n">
        <f aca="false">H2+1</f>
        <v>2023</v>
      </c>
      <c r="J2" s="216" t="n">
        <f aca="false">I2+1</f>
        <v>2024</v>
      </c>
      <c r="K2" s="216" t="n">
        <f aca="false">J2+1</f>
        <v>2025</v>
      </c>
      <c r="L2" s="216" t="n">
        <f aca="false">K2+1</f>
        <v>2026</v>
      </c>
    </row>
    <row r="3" customFormat="false" ht="1.95" hidden="false" customHeight="true" outlineLevel="0" collapsed="false">
      <c r="B3" s="217"/>
      <c r="C3" s="218"/>
      <c r="D3" s="218"/>
      <c r="E3" s="218"/>
      <c r="F3" s="218"/>
      <c r="G3" s="218"/>
      <c r="H3" s="218"/>
      <c r="I3" s="218"/>
      <c r="J3" s="218"/>
      <c r="K3" s="218"/>
      <c r="L3" s="218"/>
    </row>
    <row r="4" customFormat="false" ht="14.4" hidden="false" customHeight="false" outlineLevel="0" collapsed="false">
      <c r="A4" s="0" t="s">
        <v>109</v>
      </c>
      <c r="B4" s="8" t="s">
        <v>368</v>
      </c>
      <c r="C4" s="219" t="n">
        <f aca="false">C5+C11+C12</f>
        <v>647</v>
      </c>
      <c r="D4" s="219" t="n">
        <f aca="false">D5+D11+D12</f>
        <v>925</v>
      </c>
      <c r="E4" s="219" t="n">
        <f aca="false">E5+E11+E12</f>
        <v>949</v>
      </c>
      <c r="F4" s="219" t="n">
        <f aca="false">F5+F11+F12</f>
        <v>783</v>
      </c>
      <c r="G4" s="219" t="n">
        <f aca="false">G5+G11+G12</f>
        <v>1818</v>
      </c>
      <c r="H4" s="219" t="n">
        <f aca="false">H5+H11+H12</f>
        <v>978</v>
      </c>
      <c r="I4" s="219" t="n">
        <f aca="false">I5+I11+I12</f>
        <v>615</v>
      </c>
      <c r="J4" s="219" t="n">
        <f aca="false">J5+J11+J12</f>
        <v>1118</v>
      </c>
      <c r="K4" s="219" t="n">
        <f aca="false">K5+K11+K12</f>
        <v>1947</v>
      </c>
      <c r="L4" s="219" t="n">
        <f aca="false">L5+L11+L12</f>
        <v>1455</v>
      </c>
    </row>
    <row r="5" customFormat="false" ht="14.4" hidden="false" customHeight="false" outlineLevel="0" collapsed="false">
      <c r="B5" s="63" t="s">
        <v>369</v>
      </c>
      <c r="C5" s="220" t="n">
        <v>709</v>
      </c>
      <c r="D5" s="220" t="n">
        <v>1372</v>
      </c>
      <c r="E5" s="220" t="n">
        <v>1569</v>
      </c>
      <c r="F5" s="220" t="n">
        <v>1536</v>
      </c>
      <c r="G5" s="220" t="n">
        <v>1121</v>
      </c>
      <c r="H5" s="220" t="n">
        <v>1640</v>
      </c>
      <c r="I5" s="220" t="n">
        <v>1448</v>
      </c>
      <c r="J5" s="220" t="n">
        <v>2100</v>
      </c>
      <c r="K5" s="221" t="n">
        <v>2319</v>
      </c>
      <c r="L5" s="220" t="n">
        <v>2368</v>
      </c>
    </row>
    <row r="6" customFormat="false" ht="14.4" hidden="false" customHeight="false" outlineLevel="0" collapsed="false">
      <c r="B6" s="63" t="s">
        <v>40</v>
      </c>
      <c r="C6" s="220" t="n">
        <v>-656</v>
      </c>
      <c r="D6" s="220" t="n">
        <v>106</v>
      </c>
      <c r="E6" s="220" t="n">
        <v>84</v>
      </c>
      <c r="F6" s="220" t="n">
        <v>271</v>
      </c>
      <c r="G6" s="220" t="n">
        <v>65</v>
      </c>
      <c r="H6" s="220" t="n">
        <v>-205</v>
      </c>
      <c r="I6" s="220" t="n">
        <v>-276</v>
      </c>
      <c r="J6" s="220" t="n">
        <v>-1045</v>
      </c>
      <c r="K6" s="220" t="n">
        <v>-321</v>
      </c>
      <c r="L6" s="220" t="n">
        <v>-356</v>
      </c>
    </row>
    <row r="7" customFormat="false" ht="14.4" hidden="false" customHeight="false" outlineLevel="0" collapsed="false">
      <c r="B7" s="63" t="s">
        <v>41</v>
      </c>
      <c r="C7" s="220" t="n">
        <v>38</v>
      </c>
      <c r="D7" s="220" t="n">
        <v>8</v>
      </c>
      <c r="E7" s="220" t="n">
        <v>-15</v>
      </c>
      <c r="F7" s="220" t="n">
        <v>7</v>
      </c>
      <c r="G7" s="220" t="n">
        <v>-124</v>
      </c>
      <c r="H7" s="220" t="n">
        <v>-105</v>
      </c>
      <c r="I7" s="220" t="n">
        <v>-262</v>
      </c>
      <c r="J7" s="220" t="n">
        <v>163</v>
      </c>
      <c r="K7" s="220" t="n">
        <v>-242</v>
      </c>
      <c r="L7" s="220" t="n">
        <v>-359</v>
      </c>
    </row>
    <row r="8" customFormat="false" ht="14.4" hidden="false" customHeight="false" outlineLevel="0" collapsed="false">
      <c r="B8" s="63" t="s">
        <v>370</v>
      </c>
      <c r="C8" s="220" t="n">
        <v>217</v>
      </c>
      <c r="D8" s="220" t="n">
        <v>251</v>
      </c>
      <c r="E8" s="220" t="n">
        <v>-60</v>
      </c>
      <c r="F8" s="220" t="n">
        <v>-201</v>
      </c>
      <c r="G8" s="220" t="n">
        <v>209</v>
      </c>
      <c r="H8" s="220" t="n">
        <v>123</v>
      </c>
      <c r="I8" s="220" t="n">
        <v>203</v>
      </c>
      <c r="J8" s="220" t="n">
        <v>132</v>
      </c>
      <c r="K8" s="220" t="n">
        <v>250</v>
      </c>
      <c r="L8" s="220" t="n">
        <v>223</v>
      </c>
    </row>
    <row r="9" customFormat="false" ht="14.4" hidden="false" customHeight="false" outlineLevel="0" collapsed="false">
      <c r="B9" s="63" t="s">
        <v>371</v>
      </c>
      <c r="C9" s="220" t="n">
        <v>0</v>
      </c>
      <c r="D9" s="220" t="n">
        <v>0</v>
      </c>
      <c r="E9" s="220" t="n">
        <v>0</v>
      </c>
      <c r="F9" s="220" t="n">
        <v>0</v>
      </c>
      <c r="G9" s="220" t="n">
        <v>0</v>
      </c>
      <c r="H9" s="220" t="n">
        <v>0</v>
      </c>
      <c r="I9" s="220" t="n">
        <v>-96</v>
      </c>
      <c r="J9" s="220" t="n">
        <v>154</v>
      </c>
      <c r="K9" s="220" t="n">
        <v>-42</v>
      </c>
      <c r="L9" s="220" t="n">
        <v>0</v>
      </c>
    </row>
    <row r="10" customFormat="false" ht="14.4" hidden="false" customHeight="false" outlineLevel="0" collapsed="false">
      <c r="B10" s="63" t="s">
        <v>372</v>
      </c>
      <c r="C10" s="220" t="n">
        <v>539</v>
      </c>
      <c r="D10" s="220" t="n">
        <v>-399</v>
      </c>
      <c r="E10" s="220" t="n">
        <v>208</v>
      </c>
      <c r="F10" s="220" t="n">
        <v>-247</v>
      </c>
      <c r="G10" s="220" t="n">
        <v>654</v>
      </c>
      <c r="H10" s="220" t="n">
        <v>-18</v>
      </c>
      <c r="I10" s="220" t="n">
        <v>-134</v>
      </c>
      <c r="J10" s="220" t="n">
        <v>-49</v>
      </c>
      <c r="K10" s="220" t="n">
        <v>146</v>
      </c>
      <c r="L10" s="220" t="n">
        <v>-87</v>
      </c>
    </row>
    <row r="11" customFormat="false" ht="14.4" hidden="false" customHeight="false" outlineLevel="0" collapsed="false">
      <c r="B11" s="63" t="s">
        <v>373</v>
      </c>
      <c r="C11" s="222" t="n">
        <f aca="false">SUM(C6:C10)</f>
        <v>138</v>
      </c>
      <c r="D11" s="222" t="n">
        <f aca="false">SUM(D6:D10)</f>
        <v>-34</v>
      </c>
      <c r="E11" s="222" t="n">
        <f aca="false">SUM(E6:E10)</f>
        <v>217</v>
      </c>
      <c r="F11" s="222" t="n">
        <f aca="false">SUM(F6:F10)</f>
        <v>-170</v>
      </c>
      <c r="G11" s="222" t="n">
        <f aca="false">SUM(G6:G10)</f>
        <v>804</v>
      </c>
      <c r="H11" s="222" t="n">
        <f aca="false">SUM(H6:H10)</f>
        <v>-205</v>
      </c>
      <c r="I11" s="222" t="n">
        <f aca="false">SUM(I6:I10)</f>
        <v>-565</v>
      </c>
      <c r="J11" s="222" t="n">
        <f aca="false">SUM(J6:J10)</f>
        <v>-645</v>
      </c>
      <c r="K11" s="222" t="n">
        <f aca="false">SUM(K6:K10)</f>
        <v>-209</v>
      </c>
      <c r="L11" s="222" t="n">
        <f aca="false">SUM(L6:L10)</f>
        <v>-579</v>
      </c>
    </row>
    <row r="12" customFormat="false" ht="14.4" hidden="false" customHeight="false" outlineLevel="0" collapsed="false">
      <c r="B12" s="63" t="s">
        <v>374</v>
      </c>
      <c r="C12" s="220" t="n">
        <v>-200</v>
      </c>
      <c r="D12" s="220" t="n">
        <v>-413</v>
      </c>
      <c r="E12" s="220" t="n">
        <v>-837</v>
      </c>
      <c r="F12" s="220" t="n">
        <v>-583</v>
      </c>
      <c r="G12" s="220" t="n">
        <v>-107</v>
      </c>
      <c r="H12" s="220" t="n">
        <v>-457</v>
      </c>
      <c r="I12" s="220" t="n">
        <v>-268</v>
      </c>
      <c r="J12" s="220" t="n">
        <v>-337</v>
      </c>
      <c r="K12" s="220" t="n">
        <v>-163</v>
      </c>
      <c r="L12" s="220" t="n">
        <v>-334</v>
      </c>
    </row>
    <row r="13" customFormat="false" ht="14.4" hidden="false" customHeight="false" outlineLevel="0" collapsed="false">
      <c r="B13" s="63" t="s">
        <v>375</v>
      </c>
      <c r="C13" s="220" t="n">
        <v>0</v>
      </c>
      <c r="D13" s="220" t="n">
        <v>0</v>
      </c>
      <c r="E13" s="220" t="n">
        <v>0</v>
      </c>
      <c r="F13" s="220" t="n">
        <v>0</v>
      </c>
      <c r="G13" s="220" t="n">
        <v>0</v>
      </c>
      <c r="H13" s="220" t="n">
        <v>0</v>
      </c>
      <c r="I13" s="220" t="n">
        <v>0</v>
      </c>
      <c r="J13" s="220" t="n">
        <v>0</v>
      </c>
      <c r="K13" s="220" t="n">
        <v>0</v>
      </c>
      <c r="L13" s="220" t="n">
        <v>4</v>
      </c>
    </row>
    <row r="14" customFormat="false" ht="14.4" hidden="false" customHeight="false" outlineLevel="0" collapsed="false">
      <c r="B14" s="63"/>
      <c r="C14" s="220"/>
      <c r="D14" s="220"/>
      <c r="E14" s="220"/>
      <c r="F14" s="220"/>
      <c r="G14" s="220"/>
      <c r="H14" s="220"/>
      <c r="I14" s="220"/>
      <c r="J14" s="220"/>
      <c r="K14" s="220"/>
      <c r="L14" s="220"/>
    </row>
    <row r="15" customFormat="false" ht="14.4" hidden="false" customHeight="false" outlineLevel="0" collapsed="false">
      <c r="A15" s="0" t="s">
        <v>109</v>
      </c>
      <c r="B15" s="46" t="s">
        <v>376</v>
      </c>
      <c r="C15" s="219" t="n">
        <f aca="false">SUM(C16:C26)</f>
        <v>-227</v>
      </c>
      <c r="D15" s="219" t="n">
        <f aca="false">SUM(D16:D26)</f>
        <v>104</v>
      </c>
      <c r="E15" s="219" t="n">
        <f aca="false">SUM(E16:E26)</f>
        <v>-66</v>
      </c>
      <c r="F15" s="219" t="n">
        <f aca="false">SUM(F16:F26)</f>
        <v>-194</v>
      </c>
      <c r="G15" s="219" t="n">
        <f aca="false">SUM(G16:G26)</f>
        <v>-100</v>
      </c>
      <c r="H15" s="219" t="n">
        <f aca="false">SUM(H16:H26)</f>
        <v>-314</v>
      </c>
      <c r="I15" s="219" t="n">
        <f aca="false">SUM(I16:I26)</f>
        <v>-55</v>
      </c>
      <c r="J15" s="219" t="n">
        <f aca="false">SUM(J16:J26)</f>
        <v>226</v>
      </c>
      <c r="K15" s="219" t="n">
        <f aca="false">SUM(K16:K26)</f>
        <v>-1114</v>
      </c>
      <c r="L15" s="219" t="n">
        <f aca="false">SUM(L16:L26)</f>
        <v>-428</v>
      </c>
    </row>
    <row r="16" customFormat="false" ht="14.4" hidden="false" customHeight="false" outlineLevel="0" collapsed="false">
      <c r="B16" s="63" t="s">
        <v>377</v>
      </c>
      <c r="C16" s="220" t="n">
        <v>-311</v>
      </c>
      <c r="D16" s="220" t="n">
        <v>-184</v>
      </c>
      <c r="E16" s="220" t="n">
        <v>-173</v>
      </c>
      <c r="F16" s="220" t="n">
        <v>-212</v>
      </c>
      <c r="G16" s="220" t="n">
        <v>-174</v>
      </c>
      <c r="H16" s="220" t="n">
        <v>-134</v>
      </c>
      <c r="I16" s="220" t="n">
        <v>-137</v>
      </c>
      <c r="J16" s="220" t="n">
        <v>-98</v>
      </c>
      <c r="K16" s="220" t="n">
        <v>-162</v>
      </c>
      <c r="L16" s="220" t="n">
        <v>-181</v>
      </c>
      <c r="N16" s="223"/>
      <c r="V16" s="0" t="s">
        <v>378</v>
      </c>
    </row>
    <row r="17" customFormat="false" ht="14.4" hidden="false" customHeight="false" outlineLevel="0" collapsed="false">
      <c r="B17" s="63" t="s">
        <v>379</v>
      </c>
      <c r="C17" s="220" t="n">
        <v>53</v>
      </c>
      <c r="D17" s="220" t="n">
        <v>154</v>
      </c>
      <c r="E17" s="220" t="n">
        <v>96</v>
      </c>
      <c r="F17" s="220" t="n">
        <v>12</v>
      </c>
      <c r="G17" s="220" t="n">
        <v>35</v>
      </c>
      <c r="H17" s="220" t="n">
        <v>38</v>
      </c>
      <c r="I17" s="220" t="n">
        <v>27</v>
      </c>
      <c r="J17" s="220" t="n">
        <v>19</v>
      </c>
      <c r="K17" s="220" t="n">
        <v>1</v>
      </c>
      <c r="L17" s="220" t="n">
        <v>253</v>
      </c>
      <c r="Q17" s="0" t="n">
        <v>2027</v>
      </c>
      <c r="R17" s="0" t="n">
        <f aca="false">Q17+1</f>
        <v>2028</v>
      </c>
      <c r="S17" s="0" t="n">
        <f aca="false">R17+1</f>
        <v>2029</v>
      </c>
      <c r="T17" s="0" t="n">
        <f aca="false">S17+1</f>
        <v>2030</v>
      </c>
      <c r="W17" s="0" t="s">
        <v>380</v>
      </c>
    </row>
    <row r="18" customFormat="false" ht="14.4" hidden="false" customHeight="false" outlineLevel="0" collapsed="false">
      <c r="B18" s="63" t="s">
        <v>381</v>
      </c>
      <c r="C18" s="220" t="n">
        <v>0</v>
      </c>
      <c r="D18" s="220" t="n">
        <v>0</v>
      </c>
      <c r="E18" s="220" t="n">
        <v>0</v>
      </c>
      <c r="F18" s="220" t="n">
        <v>0</v>
      </c>
      <c r="G18" s="220" t="n">
        <v>0</v>
      </c>
      <c r="H18" s="220" t="n">
        <v>-1436</v>
      </c>
      <c r="I18" s="220" t="n">
        <v>-8517</v>
      </c>
      <c r="J18" s="220" t="n">
        <v>-1032</v>
      </c>
      <c r="K18" s="220" t="n">
        <v>-1391</v>
      </c>
      <c r="L18" s="220" t="n">
        <v>-1879</v>
      </c>
      <c r="P18" s="0" t="s">
        <v>131</v>
      </c>
      <c r="Q18" s="0" t="n">
        <f aca="false">PL!M28</f>
        <v>1846.99391229214</v>
      </c>
      <c r="R18" s="0" t="n">
        <f aca="false">PL!N28</f>
        <v>2023.58831208677</v>
      </c>
      <c r="S18" s="0" t="n">
        <f aca="false">PL!O28</f>
        <v>2216.22032353455</v>
      </c>
      <c r="T18" s="0" t="n">
        <f aca="false">PL!P28</f>
        <v>2421.90467514522</v>
      </c>
      <c r="AA18" s="34"/>
    </row>
    <row r="19" customFormat="false" ht="14.4" hidden="false" customHeight="false" outlineLevel="0" collapsed="false">
      <c r="B19" s="63" t="s">
        <v>382</v>
      </c>
      <c r="C19" s="220" t="n">
        <v>11</v>
      </c>
      <c r="D19" s="220" t="n">
        <v>130</v>
      </c>
      <c r="E19" s="220" t="n">
        <v>32</v>
      </c>
      <c r="F19" s="220" t="n">
        <v>0</v>
      </c>
      <c r="G19" s="220" t="n">
        <v>0</v>
      </c>
      <c r="H19" s="220" t="n">
        <v>1222</v>
      </c>
      <c r="I19" s="220" t="n">
        <v>8502</v>
      </c>
      <c r="J19" s="220" t="n">
        <v>751</v>
      </c>
      <c r="K19" s="220" t="n">
        <v>1163</v>
      </c>
      <c r="L19" s="220" t="n">
        <v>1701</v>
      </c>
      <c r="P19" s="0" t="s">
        <v>383</v>
      </c>
      <c r="Q19" s="0" t="n">
        <f aca="false">-PL!M16</f>
        <v>196.162907142857</v>
      </c>
      <c r="R19" s="0" t="n">
        <f aca="false">-PL!N16</f>
        <v>239.188903142857</v>
      </c>
      <c r="S19" s="0" t="n">
        <f aca="false">-PL!O16</f>
        <v>285.099543857143</v>
      </c>
      <c r="T19" s="0" t="n">
        <f aca="false">-PL!P16</f>
        <v>334.043901714286</v>
      </c>
      <c r="AA19" s="34"/>
    </row>
    <row r="20" customFormat="false" ht="14.4" hidden="false" customHeight="false" outlineLevel="0" collapsed="false">
      <c r="B20" s="63" t="s">
        <v>384</v>
      </c>
      <c r="C20" s="220" t="n">
        <v>20</v>
      </c>
      <c r="D20" s="220" t="n">
        <v>4</v>
      </c>
      <c r="E20" s="220" t="n">
        <v>6</v>
      </c>
      <c r="F20" s="220" t="n">
        <v>6</v>
      </c>
      <c r="G20" s="220" t="n">
        <v>11</v>
      </c>
      <c r="H20" s="220" t="n">
        <v>6</v>
      </c>
      <c r="I20" s="220" t="n">
        <v>20</v>
      </c>
      <c r="J20" s="220" t="n">
        <v>42</v>
      </c>
      <c r="K20" s="220" t="n">
        <v>36</v>
      </c>
      <c r="L20" s="220" t="n">
        <v>67</v>
      </c>
      <c r="P20" s="0" t="s">
        <v>385</v>
      </c>
      <c r="Q20" s="0" t="n">
        <f aca="false">-'Working Capital Schedule'!M24</f>
        <v>-408.605054246576</v>
      </c>
      <c r="R20" s="0" t="n">
        <f aca="false">-'Working Capital Schedule'!N24</f>
        <v>-237.473277282193</v>
      </c>
      <c r="S20" s="0" t="n">
        <f aca="false">-'Working Capital Schedule'!O24</f>
        <v>-371.188981814355</v>
      </c>
      <c r="T20" s="0" t="n">
        <f aca="false">-'Working Capital Schedule'!P24</f>
        <v>-279.35684496541</v>
      </c>
      <c r="AA20" s="34"/>
    </row>
    <row r="21" customFormat="false" ht="14.4" hidden="false" customHeight="false" outlineLevel="0" collapsed="false">
      <c r="B21" s="63" t="s">
        <v>386</v>
      </c>
      <c r="C21" s="220" t="n">
        <v>0</v>
      </c>
      <c r="D21" s="220" t="n">
        <v>0</v>
      </c>
      <c r="E21" s="220" t="n">
        <v>0</v>
      </c>
      <c r="F21" s="220" t="n">
        <v>0</v>
      </c>
      <c r="G21" s="220" t="n">
        <v>0</v>
      </c>
      <c r="H21" s="220" t="n">
        <v>0</v>
      </c>
      <c r="I21" s="220" t="n">
        <v>0</v>
      </c>
      <c r="J21" s="220" t="n">
        <v>0</v>
      </c>
      <c r="K21" s="220" t="n">
        <v>0</v>
      </c>
      <c r="L21" s="220" t="n">
        <v>0</v>
      </c>
      <c r="P21" s="0" t="s">
        <v>387</v>
      </c>
      <c r="Q21" s="0" t="n">
        <f aca="false">SUM(Q18:Q20)</f>
        <v>1634.55176518842</v>
      </c>
      <c r="R21" s="0" t="n">
        <f aca="false">SUM(R18:R20)</f>
        <v>2025.30393794744</v>
      </c>
      <c r="S21" s="0" t="n">
        <f aca="false">SUM(S18:S20)</f>
        <v>2130.13088557733</v>
      </c>
      <c r="T21" s="0" t="n">
        <f aca="false">SUM(T18:T20)</f>
        <v>2476.59173189409</v>
      </c>
      <c r="AA21" s="34"/>
    </row>
    <row r="22" customFormat="false" ht="14.4" hidden="false" customHeight="false" outlineLevel="0" collapsed="false">
      <c r="B22" s="63" t="s">
        <v>388</v>
      </c>
      <c r="C22" s="220" t="n">
        <v>0</v>
      </c>
      <c r="D22" s="220" t="n">
        <v>0</v>
      </c>
      <c r="E22" s="220" t="n">
        <v>0</v>
      </c>
      <c r="F22" s="220" t="n">
        <v>0</v>
      </c>
      <c r="G22" s="220" t="n">
        <v>0</v>
      </c>
      <c r="H22" s="220" t="n">
        <v>0</v>
      </c>
      <c r="I22" s="220" t="n">
        <v>0</v>
      </c>
      <c r="J22" s="220" t="n">
        <v>0</v>
      </c>
      <c r="K22" s="220" t="n">
        <v>0</v>
      </c>
      <c r="L22" s="220" t="n">
        <v>-40</v>
      </c>
      <c r="P22" s="0" t="s">
        <v>389</v>
      </c>
      <c r="Q22" s="0" t="n">
        <f aca="false">-'Working Schedules'!H42</f>
        <v>-145.686</v>
      </c>
      <c r="R22" s="0" t="n">
        <f aca="false">-'Working Schedules'!I42</f>
        <v>-159.18</v>
      </c>
      <c r="S22" s="0" t="n">
        <f aca="false">-'Working Schedules'!J42</f>
        <v>-169.815</v>
      </c>
      <c r="T22" s="0" t="n">
        <f aca="false">-'Working Schedules'!K42</f>
        <v>-181.035</v>
      </c>
    </row>
    <row r="23" customFormat="false" ht="14.4" hidden="false" customHeight="false" outlineLevel="0" collapsed="false">
      <c r="B23" s="63" t="s">
        <v>390</v>
      </c>
      <c r="C23" s="220" t="n">
        <v>0</v>
      </c>
      <c r="D23" s="220" t="n">
        <v>0</v>
      </c>
      <c r="E23" s="220" t="n">
        <v>0</v>
      </c>
      <c r="F23" s="220" t="n">
        <v>0</v>
      </c>
      <c r="G23" s="220" t="n">
        <v>-2</v>
      </c>
      <c r="H23" s="220" t="n">
        <v>0</v>
      </c>
      <c r="I23" s="220" t="n">
        <v>-32</v>
      </c>
      <c r="J23" s="220" t="n">
        <v>-15</v>
      </c>
      <c r="K23" s="220" t="n">
        <v>-13</v>
      </c>
      <c r="L23" s="220" t="n">
        <v>0</v>
      </c>
      <c r="P23" s="0" t="s">
        <v>391</v>
      </c>
    </row>
    <row r="24" customFormat="false" ht="14.4" hidden="false" customHeight="false" outlineLevel="0" collapsed="false">
      <c r="B24" s="63" t="s">
        <v>392</v>
      </c>
      <c r="C24" s="220" t="n">
        <v>0</v>
      </c>
      <c r="D24" s="220" t="n">
        <v>0</v>
      </c>
      <c r="E24" s="220" t="n">
        <v>0</v>
      </c>
      <c r="F24" s="220" t="n">
        <v>0</v>
      </c>
      <c r="G24" s="220" t="n">
        <v>30</v>
      </c>
      <c r="H24" s="220" t="n">
        <v>0</v>
      </c>
      <c r="I24" s="220" t="n">
        <v>32</v>
      </c>
      <c r="J24" s="220" t="n">
        <v>0</v>
      </c>
      <c r="K24" s="220" t="n">
        <v>0</v>
      </c>
      <c r="L24" s="220" t="n">
        <v>0</v>
      </c>
      <c r="P24" s="0" t="s">
        <v>393</v>
      </c>
      <c r="Q24" s="0" t="n">
        <f aca="false">BS!M11</f>
        <v>-1237.48592123573</v>
      </c>
      <c r="R24" s="0" t="n">
        <f aca="false">BS!N11</f>
        <v>-1355.80416909814</v>
      </c>
      <c r="S24" s="0" t="n">
        <f aca="false">BS!O11</f>
        <v>-1484.86761676815</v>
      </c>
      <c r="T24" s="0" t="n">
        <f aca="false">BS!P11</f>
        <v>-1622.6761323473</v>
      </c>
    </row>
    <row r="25" customFormat="false" ht="14.4" hidden="false" customHeight="false" outlineLevel="0" collapsed="false">
      <c r="B25" s="63" t="s">
        <v>394</v>
      </c>
      <c r="C25" s="220" t="n">
        <v>0</v>
      </c>
      <c r="D25" s="220" t="n">
        <v>0</v>
      </c>
      <c r="E25" s="220" t="n">
        <v>-27</v>
      </c>
      <c r="F25" s="220" t="n">
        <v>0</v>
      </c>
      <c r="G25" s="220" t="n">
        <v>0</v>
      </c>
      <c r="H25" s="220" t="n">
        <v>0</v>
      </c>
      <c r="I25" s="220" t="n">
        <v>0</v>
      </c>
      <c r="J25" s="220" t="n">
        <v>0</v>
      </c>
      <c r="K25" s="220" t="n">
        <v>0</v>
      </c>
      <c r="L25" s="220" t="n">
        <v>0</v>
      </c>
      <c r="P25" s="0" t="s">
        <v>395</v>
      </c>
      <c r="Q25" s="0" t="n">
        <f aca="false">PL!M21</f>
        <v>-92.212694</v>
      </c>
      <c r="R25" s="0" t="n">
        <f aca="false">PL!N21</f>
        <v>-97.66082</v>
      </c>
      <c r="S25" s="0" t="n">
        <f aca="false">PL!O21</f>
        <v>-103.66412384</v>
      </c>
      <c r="T25" s="0" t="n">
        <f aca="false">PL!P21</f>
        <v>-110.0144390988</v>
      </c>
    </row>
    <row r="26" customFormat="false" ht="14.4" hidden="false" customHeight="false" outlineLevel="0" collapsed="false">
      <c r="B26" s="63" t="s">
        <v>396</v>
      </c>
      <c r="C26" s="220" t="n">
        <v>0</v>
      </c>
      <c r="D26" s="220" t="n">
        <v>0</v>
      </c>
      <c r="E26" s="220" t="n">
        <v>0</v>
      </c>
      <c r="F26" s="220" t="n">
        <v>0</v>
      </c>
      <c r="G26" s="220" t="n">
        <v>0</v>
      </c>
      <c r="H26" s="220" t="n">
        <v>-10</v>
      </c>
      <c r="I26" s="220" t="n">
        <v>50</v>
      </c>
      <c r="J26" s="220" t="n">
        <v>559</v>
      </c>
      <c r="K26" s="220" t="n">
        <v>-748</v>
      </c>
      <c r="L26" s="220" t="n">
        <v>-349</v>
      </c>
      <c r="P26" s="0" t="s">
        <v>397</v>
      </c>
      <c r="Q26" s="0" t="n">
        <f aca="false">PL!M19</f>
        <v>0</v>
      </c>
      <c r="R26" s="0" t="n">
        <f aca="false">Q30*6.5%</f>
        <v>204.040664746925</v>
      </c>
      <c r="S26" s="0" t="n">
        <f aca="false">R30*6.5%</f>
        <v>233.409875630679</v>
      </c>
      <c r="T26" s="0" t="n">
        <f aca="false">S30*6.5%</f>
        <v>261.281084489671</v>
      </c>
    </row>
    <row r="27" customFormat="false" ht="14.4" hidden="false" customHeight="false" outlineLevel="0" collapsed="false">
      <c r="B27" s="63"/>
      <c r="C27" s="220"/>
      <c r="D27" s="220"/>
      <c r="E27" s="220"/>
      <c r="F27" s="220"/>
      <c r="G27" s="220"/>
      <c r="H27" s="220"/>
      <c r="I27" s="220"/>
      <c r="J27" s="220"/>
      <c r="K27" s="220"/>
      <c r="L27" s="220"/>
      <c r="P27" s="0" t="s">
        <v>398</v>
      </c>
      <c r="Q27" s="0" t="n">
        <f aca="false">'Working Schedules'!H9</f>
        <v>-154.08</v>
      </c>
      <c r="R27" s="0" t="n">
        <f aca="false">'Working Schedules'!I9</f>
        <v>-164.8656</v>
      </c>
      <c r="S27" s="0" t="n">
        <f aca="false">'Working Schedules'!J9</f>
        <v>-176.406192</v>
      </c>
      <c r="T27" s="0" t="n">
        <f aca="false">'Working Schedules'!K9</f>
        <v>-188.75462544</v>
      </c>
    </row>
    <row r="28" customFormat="false" ht="14.4" hidden="false" customHeight="false" outlineLevel="0" collapsed="false">
      <c r="A28" s="0" t="s">
        <v>109</v>
      </c>
      <c r="B28" s="46" t="s">
        <v>399</v>
      </c>
      <c r="C28" s="219" t="n">
        <f aca="false">SUM(C29:C34)</f>
        <v>-475</v>
      </c>
      <c r="D28" s="219" t="n">
        <f aca="false">SUM(D29:D34)</f>
        <v>-966</v>
      </c>
      <c r="E28" s="219" t="n">
        <f aca="false">SUM(E29:E34)</f>
        <v>-808</v>
      </c>
      <c r="F28" s="219" t="n">
        <f aca="false">SUM(F29:F34)</f>
        <v>-739</v>
      </c>
      <c r="G28" s="219" t="n">
        <f aca="false">SUM(G29:G34)</f>
        <v>-1707</v>
      </c>
      <c r="H28" s="219" t="n">
        <f aca="false">SUM(H29:H34)</f>
        <v>-688</v>
      </c>
      <c r="I28" s="219" t="n">
        <f aca="false">SUM(I29:I34)</f>
        <v>-500</v>
      </c>
      <c r="J28" s="219" t="n">
        <f aca="false">SUM(J29:J34)</f>
        <v>-407</v>
      </c>
      <c r="K28" s="219" t="n">
        <f aca="false">SUM(K29:K34)</f>
        <v>-557</v>
      </c>
      <c r="L28" s="219" t="n">
        <f aca="false">SUM(L29:L34)</f>
        <v>-1450</v>
      </c>
      <c r="Q28" s="0" t="n">
        <f aca="false">SUM(Q21:Q27)</f>
        <v>5.08714995268693</v>
      </c>
      <c r="R28" s="0" t="n">
        <f aca="false">SUM(R21:R27)</f>
        <v>451.834013596223</v>
      </c>
      <c r="S28" s="0" t="n">
        <f aca="false">SUM(S21:S27)</f>
        <v>428.787828599867</v>
      </c>
      <c r="T28" s="0" t="n">
        <f aca="false">SUM(T21:T27)</f>
        <v>635.392619497668</v>
      </c>
    </row>
    <row r="29" customFormat="false" ht="14.4" hidden="false" customHeight="false" outlineLevel="0" collapsed="false">
      <c r="B29" s="63" t="s">
        <v>400</v>
      </c>
      <c r="C29" s="220" t="n">
        <v>2322</v>
      </c>
      <c r="D29" s="220" t="n">
        <v>5044</v>
      </c>
      <c r="E29" s="220" t="n">
        <v>232</v>
      </c>
      <c r="F29" s="220" t="n">
        <v>410</v>
      </c>
      <c r="G29" s="220" t="n">
        <v>0</v>
      </c>
      <c r="H29" s="220" t="n">
        <v>0</v>
      </c>
      <c r="I29" s="220" t="n">
        <v>0</v>
      </c>
      <c r="J29" s="220" t="n">
        <v>25</v>
      </c>
      <c r="K29" s="220" t="n">
        <v>28</v>
      </c>
      <c r="L29" s="220" t="n">
        <v>6</v>
      </c>
      <c r="Q29" s="0" t="n">
        <v>3134</v>
      </c>
      <c r="R29" s="0" t="n">
        <f aca="false">Q30</f>
        <v>3139.08714995269</v>
      </c>
      <c r="S29" s="0" t="n">
        <f aca="false">R30</f>
        <v>3590.92116354891</v>
      </c>
      <c r="T29" s="0" t="n">
        <f aca="false">S30</f>
        <v>4019.70899214878</v>
      </c>
    </row>
    <row r="30" customFormat="false" ht="14.4" hidden="false" customHeight="false" outlineLevel="0" collapsed="false">
      <c r="B30" s="63" t="s">
        <v>401</v>
      </c>
      <c r="C30" s="220" t="n">
        <v>-2421</v>
      </c>
      <c r="D30" s="220" t="n">
        <v>-5755</v>
      </c>
      <c r="E30" s="220" t="n">
        <v>-811</v>
      </c>
      <c r="F30" s="220" t="n">
        <v>-968</v>
      </c>
      <c r="G30" s="220" t="n">
        <v>-1484</v>
      </c>
      <c r="H30" s="220" t="n">
        <v>-538</v>
      </c>
      <c r="I30" s="220" t="n">
        <v>-340</v>
      </c>
      <c r="J30" s="220" t="n">
        <v>-1</v>
      </c>
      <c r="K30" s="220" t="n">
        <v>-53</v>
      </c>
      <c r="L30" s="220" t="n">
        <v>-12</v>
      </c>
      <c r="Q30" s="0" t="n">
        <f aca="false">SUM(Q28:Q29)</f>
        <v>3139.08714995269</v>
      </c>
      <c r="R30" s="0" t="n">
        <f aca="false">SUM(R28:R29)</f>
        <v>3590.92116354891</v>
      </c>
      <c r="S30" s="0" t="n">
        <f aca="false">SUM(S28:S29)</f>
        <v>4019.70899214878</v>
      </c>
      <c r="T30" s="0" t="n">
        <f aca="false">SUM(T28:T29)</f>
        <v>4655.10161164645</v>
      </c>
    </row>
    <row r="31" customFormat="false" ht="14.4" hidden="false" customHeight="false" outlineLevel="0" collapsed="false">
      <c r="B31" s="63" t="s">
        <v>402</v>
      </c>
      <c r="C31" s="220" t="n">
        <v>-375</v>
      </c>
      <c r="D31" s="220" t="n">
        <v>-253</v>
      </c>
      <c r="E31" s="220" t="n">
        <v>-229</v>
      </c>
      <c r="F31" s="220" t="n">
        <v>-181</v>
      </c>
      <c r="G31" s="220" t="n">
        <v>-142</v>
      </c>
      <c r="H31" s="220" t="n">
        <v>-50</v>
      </c>
      <c r="I31" s="220" t="n">
        <v>-36</v>
      </c>
      <c r="J31" s="220" t="n">
        <v>-21</v>
      </c>
      <c r="K31" s="220" t="n">
        <v>-40</v>
      </c>
      <c r="L31" s="220" t="n">
        <v>0</v>
      </c>
    </row>
    <row r="32" customFormat="false" ht="14.4" hidden="false" customHeight="false" outlineLevel="0" collapsed="false">
      <c r="B32" s="63" t="s">
        <v>403</v>
      </c>
      <c r="C32" s="220" t="n">
        <v>0</v>
      </c>
      <c r="D32" s="220" t="n">
        <v>0</v>
      </c>
      <c r="E32" s="220" t="n">
        <v>0</v>
      </c>
      <c r="F32" s="220" t="n">
        <v>0</v>
      </c>
      <c r="G32" s="220" t="n">
        <v>0</v>
      </c>
      <c r="H32" s="220" t="n">
        <v>0</v>
      </c>
      <c r="I32" s="220" t="n">
        <v>0</v>
      </c>
      <c r="J32" s="220" t="n">
        <v>-284</v>
      </c>
      <c r="K32" s="220" t="n">
        <v>-355</v>
      </c>
      <c r="L32" s="220" t="n">
        <v>0</v>
      </c>
    </row>
    <row r="33" customFormat="false" ht="14.4" hidden="false" customHeight="false" outlineLevel="0" collapsed="false">
      <c r="B33" s="63" t="s">
        <v>404</v>
      </c>
      <c r="C33" s="220" t="n">
        <v>0</v>
      </c>
      <c r="D33" s="220" t="n">
        <v>0</v>
      </c>
      <c r="E33" s="220" t="n">
        <v>0</v>
      </c>
      <c r="F33" s="220" t="n">
        <v>0</v>
      </c>
      <c r="G33" s="220" t="n">
        <v>-81</v>
      </c>
      <c r="H33" s="220" t="n">
        <v>-100</v>
      </c>
      <c r="I33" s="220" t="n">
        <v>-124</v>
      </c>
      <c r="J33" s="220" t="n">
        <v>-126</v>
      </c>
      <c r="K33" s="220" t="n">
        <v>-137</v>
      </c>
      <c r="L33" s="220" t="n">
        <v>-181</v>
      </c>
      <c r="M33" s="223"/>
    </row>
    <row r="34" customFormat="false" ht="14.4" hidden="false" customHeight="false" outlineLevel="0" collapsed="false">
      <c r="B34" s="63" t="s">
        <v>405</v>
      </c>
      <c r="C34" s="220" t="n">
        <v>-1</v>
      </c>
      <c r="D34" s="220" t="n">
        <v>-2</v>
      </c>
      <c r="E34" s="220" t="n">
        <v>0</v>
      </c>
      <c r="F34" s="220" t="n">
        <v>0</v>
      </c>
      <c r="G34" s="220" t="n">
        <v>0</v>
      </c>
      <c r="H34" s="220" t="n">
        <v>0</v>
      </c>
      <c r="I34" s="220" t="n">
        <v>0</v>
      </c>
      <c r="J34" s="220" t="n">
        <v>0</v>
      </c>
      <c r="K34" s="220" t="n">
        <v>0</v>
      </c>
      <c r="L34" s="220" t="n">
        <v>-1263</v>
      </c>
    </row>
    <row r="35" customFormat="false" ht="14.4" hidden="false" customHeight="false" outlineLevel="0" collapsed="false">
      <c r="B35" s="63"/>
      <c r="C35" s="220"/>
      <c r="D35" s="220"/>
      <c r="E35" s="220"/>
      <c r="F35" s="220"/>
      <c r="G35" s="220"/>
      <c r="H35" s="220"/>
      <c r="I35" s="220"/>
      <c r="J35" s="220"/>
      <c r="K35" s="220"/>
      <c r="L35" s="220"/>
    </row>
    <row r="36" customFormat="false" ht="14.4" hidden="false" customHeight="false" outlineLevel="0" collapsed="false">
      <c r="B36" s="8" t="s">
        <v>50</v>
      </c>
      <c r="C36" s="219" t="n">
        <f aca="false">C4+C15+C28</f>
        <v>-55</v>
      </c>
      <c r="D36" s="219" t="n">
        <f aca="false">D4+D15+D28</f>
        <v>63</v>
      </c>
      <c r="E36" s="219" t="n">
        <f aca="false">E4+E15+E28</f>
        <v>75</v>
      </c>
      <c r="F36" s="219" t="n">
        <f aca="false">F4+F15+F28</f>
        <v>-150</v>
      </c>
      <c r="G36" s="219" t="n">
        <f aca="false">G4+G15+G28</f>
        <v>11</v>
      </c>
      <c r="H36" s="219" t="n">
        <f aca="false">H4+H15+H28</f>
        <v>-24</v>
      </c>
      <c r="I36" s="219" t="n">
        <f aca="false">I4+I15+I28</f>
        <v>60</v>
      </c>
      <c r="J36" s="219" t="n">
        <f aca="false">J4+J15+J28</f>
        <v>937</v>
      </c>
      <c r="K36" s="219" t="n">
        <f aca="false">K4+K15+K28</f>
        <v>276</v>
      </c>
      <c r="L36" s="219" t="n">
        <f aca="false">L4+L15+L28</f>
        <v>-423</v>
      </c>
      <c r="Q36" s="0" t="n">
        <v>2023</v>
      </c>
      <c r="R36" s="0" t="n">
        <v>2024</v>
      </c>
      <c r="S36" s="0" t="n">
        <v>2025</v>
      </c>
      <c r="T36" s="0" t="n">
        <v>2026</v>
      </c>
    </row>
    <row r="37" customFormat="false" ht="14.4" hidden="false" customHeight="false" outlineLevel="0" collapsed="false">
      <c r="A37" s="0" t="s">
        <v>109</v>
      </c>
      <c r="B37" s="0" t="s">
        <v>237</v>
      </c>
      <c r="C37" s="222" t="n">
        <f aca="false">C4+C16+C17</f>
        <v>389</v>
      </c>
      <c r="D37" s="222" t="n">
        <f aca="false">D4+D16+D17</f>
        <v>895</v>
      </c>
      <c r="E37" s="222" t="n">
        <f aca="false">E4+E16+E17</f>
        <v>872</v>
      </c>
      <c r="F37" s="222" t="n">
        <f aca="false">F4+F16+F17</f>
        <v>583</v>
      </c>
      <c r="G37" s="222" t="n">
        <f aca="false">G4+G16+G17</f>
        <v>1679</v>
      </c>
      <c r="H37" s="222" t="n">
        <f aca="false">H4+H16+H17</f>
        <v>882</v>
      </c>
      <c r="I37" s="222" t="n">
        <f aca="false">I4+I16+I17</f>
        <v>505</v>
      </c>
      <c r="J37" s="222" t="n">
        <f aca="false">J4+J16+J17</f>
        <v>1039</v>
      </c>
      <c r="K37" s="222" t="n">
        <f aca="false">K4+K16+K17</f>
        <v>1786</v>
      </c>
      <c r="L37" s="222" t="n">
        <f aca="false">L4+L16+L17</f>
        <v>1527</v>
      </c>
      <c r="P37" s="0" t="s">
        <v>131</v>
      </c>
      <c r="Q37" s="0" t="n">
        <f aca="false">PL!I28</f>
        <v>1125.8</v>
      </c>
      <c r="R37" s="0" t="n">
        <f aca="false">PL!J28</f>
        <v>1408</v>
      </c>
      <c r="S37" s="0" t="n">
        <f aca="false">PL!K28</f>
        <v>1582</v>
      </c>
      <c r="T37" s="0" t="n">
        <f aca="false">PL!L28</f>
        <v>1838</v>
      </c>
    </row>
    <row r="38" customFormat="false" ht="14.4" hidden="false" customHeight="false" outlineLevel="0" collapsed="false">
      <c r="P38" s="0" t="s">
        <v>406</v>
      </c>
      <c r="Q38" s="0" t="n">
        <f aca="false">-PL!I16</f>
        <v>283</v>
      </c>
      <c r="R38" s="0" t="n">
        <f aca="false">-PL!J16</f>
        <v>275</v>
      </c>
      <c r="S38" s="0" t="n">
        <f aca="false">-PL!K16</f>
        <v>283</v>
      </c>
      <c r="T38" s="0" t="n">
        <f aca="false">-PL!L16</f>
        <v>289</v>
      </c>
    </row>
    <row r="39" customFormat="false" ht="14.4" hidden="false" customHeight="false" outlineLevel="0" collapsed="false">
      <c r="P39" s="0" t="s">
        <v>407</v>
      </c>
      <c r="Q39" s="0" t="n">
        <f aca="false">-'Working Capital Schedule'!I24</f>
        <v>-0</v>
      </c>
      <c r="R39" s="0" t="n">
        <f aca="false">-'Working Capital Schedule'!J24</f>
        <v>-0</v>
      </c>
      <c r="S39" s="0" t="n">
        <f aca="false">-'Working Capital Schedule'!K24</f>
        <v>-0</v>
      </c>
      <c r="T39" s="0" t="n">
        <f aca="false">-'Working Capital Schedule'!L24</f>
        <v>-0</v>
      </c>
    </row>
    <row r="40" customFormat="false" ht="14.4" hidden="false" customHeight="false" outlineLevel="0" collapsed="false">
      <c r="P40" s="0" t="s">
        <v>408</v>
      </c>
      <c r="Q40" s="0" t="n">
        <f aca="false">SUM(Q37:Q39)</f>
        <v>1408.8</v>
      </c>
      <c r="R40" s="0" t="n">
        <f aca="false">SUM(R37:R39)</f>
        <v>1683</v>
      </c>
      <c r="S40" s="0" t="n">
        <f aca="false">SUM(S37:S39)</f>
        <v>1865</v>
      </c>
      <c r="T40" s="0" t="n">
        <f aca="false">SUM(T37:T39)</f>
        <v>2127</v>
      </c>
    </row>
    <row r="41" customFormat="false" ht="14.4" hidden="false" customHeight="false" outlineLevel="0" collapsed="false">
      <c r="B41" s="0" t="s">
        <v>47</v>
      </c>
      <c r="C41" s="224" t="n">
        <v>646.8</v>
      </c>
      <c r="D41" s="224" t="n">
        <v>925.1</v>
      </c>
      <c r="E41" s="224" t="n">
        <v>948.3</v>
      </c>
      <c r="F41" s="224" t="n">
        <v>783.2</v>
      </c>
      <c r="G41" s="224" t="n">
        <v>1817.7</v>
      </c>
      <c r="H41" s="225" t="n">
        <v>977.4</v>
      </c>
      <c r="I41" s="225" t="n">
        <v>615</v>
      </c>
      <c r="J41" s="225" t="n">
        <v>1118</v>
      </c>
      <c r="K41" s="225" t="n">
        <v>1947</v>
      </c>
      <c r="L41" s="225" t="n">
        <v>1459</v>
      </c>
    </row>
    <row r="42" customFormat="false" ht="14.4" hidden="false" customHeight="false" outlineLevel="0" collapsed="false">
      <c r="B42" s="0" t="s">
        <v>48</v>
      </c>
      <c r="C42" s="224" t="n">
        <v>-227.4</v>
      </c>
      <c r="D42" s="224" t="n">
        <v>104.4</v>
      </c>
      <c r="E42" s="224" t="n">
        <v>-65.5</v>
      </c>
      <c r="F42" s="224" t="n">
        <v>-193.6</v>
      </c>
      <c r="G42" s="224" t="n">
        <v>-99.2</v>
      </c>
      <c r="H42" s="225" t="n">
        <v>-312.7</v>
      </c>
      <c r="I42" s="224" t="n">
        <v>-55</v>
      </c>
      <c r="J42" s="224" t="n">
        <v>226</v>
      </c>
      <c r="K42" s="224" t="n">
        <v>-1114</v>
      </c>
      <c r="L42" s="224" t="n">
        <v>-428</v>
      </c>
    </row>
    <row r="43" customFormat="false" ht="14.4" hidden="false" customHeight="false" outlineLevel="0" collapsed="false">
      <c r="B43" s="0" t="s">
        <v>49</v>
      </c>
      <c r="C43" s="224" t="n">
        <v>-474.9</v>
      </c>
      <c r="D43" s="224" t="n">
        <v>-966.1</v>
      </c>
      <c r="E43" s="224" t="n">
        <v>-808.3</v>
      </c>
      <c r="F43" s="224" t="n">
        <v>-739.9</v>
      </c>
      <c r="G43" s="224" t="n">
        <v>-1706.8</v>
      </c>
      <c r="H43" s="225" t="n">
        <v>-688</v>
      </c>
      <c r="I43" s="224" t="n">
        <v>-500</v>
      </c>
      <c r="J43" s="224" t="n">
        <v>-407</v>
      </c>
      <c r="K43" s="224" t="n">
        <v>-557</v>
      </c>
      <c r="L43" s="224" t="n">
        <v>-1450</v>
      </c>
    </row>
    <row r="44" customFormat="false" ht="14.4" hidden="false" customHeight="false" outlineLevel="0" collapsed="false">
      <c r="B44" s="0" t="s">
        <v>50</v>
      </c>
      <c r="C44" s="224" t="n">
        <v>-55.5</v>
      </c>
      <c r="D44" s="224" t="n">
        <v>63.4</v>
      </c>
      <c r="E44" s="224" t="n">
        <v>74.5</v>
      </c>
      <c r="F44" s="224" t="n">
        <v>-150.3</v>
      </c>
      <c r="G44" s="224" t="n">
        <v>11.7</v>
      </c>
      <c r="H44" s="224" t="n">
        <v>-23.3</v>
      </c>
      <c r="I44" s="224" t="n">
        <v>60</v>
      </c>
      <c r="J44" s="224" t="n">
        <v>937</v>
      </c>
      <c r="K44" s="224" t="n">
        <v>276</v>
      </c>
      <c r="L44" s="224" t="n">
        <v>-419</v>
      </c>
    </row>
    <row r="46" customFormat="false" ht="14.4" hidden="false" customHeight="false" outlineLevel="0" collapsed="false">
      <c r="C46" s="215" t="n">
        <v>-50.7</v>
      </c>
      <c r="D46" s="215" t="n">
        <v>168.800000000001</v>
      </c>
      <c r="E46" s="215" t="n">
        <v>26.7999999999996</v>
      </c>
      <c r="F46" s="215" t="n">
        <v>-209.4</v>
      </c>
      <c r="G46" s="215" t="n">
        <v>10.399999999999</v>
      </c>
      <c r="H46" s="215" t="n">
        <v>198.500000000002</v>
      </c>
      <c r="I46" s="215" t="n">
        <v>856.699999999999</v>
      </c>
      <c r="J46" s="215" t="n">
        <v>728.9</v>
      </c>
      <c r="K46" s="215" t="n">
        <v>1035</v>
      </c>
      <c r="L46" s="215" t="n">
        <v>231</v>
      </c>
    </row>
    <row r="47" customFormat="false" ht="14.4" hidden="false" customHeight="false" outlineLevel="0" collapsed="false">
      <c r="C47" s="215" t="n">
        <f aca="false">C46-C44</f>
        <v>4.79999999999998</v>
      </c>
      <c r="D47" s="215" t="n">
        <f aca="false">D46-D44</f>
        <v>105.400000000001</v>
      </c>
      <c r="E47" s="215" t="n">
        <f aca="false">E46-E44</f>
        <v>-47.7000000000004</v>
      </c>
      <c r="F47" s="215" t="n">
        <f aca="false">F46-F44</f>
        <v>-59.1000000000005</v>
      </c>
      <c r="G47" s="215" t="n">
        <f aca="false">G46-G44</f>
        <v>-1.300000000001</v>
      </c>
      <c r="H47" s="215" t="n">
        <f aca="false">H46-H44</f>
        <v>221.800000000002</v>
      </c>
      <c r="I47" s="215" t="n">
        <f aca="false">I46-I44</f>
        <v>796.699999999999</v>
      </c>
      <c r="J47" s="215" t="n">
        <f aca="false">J46-J44</f>
        <v>-208.1</v>
      </c>
      <c r="K47" s="215" t="n">
        <f aca="false">K46-K44</f>
        <v>759</v>
      </c>
      <c r="L47" s="215" t="n">
        <f aca="false">L46-L44</f>
        <v>650</v>
      </c>
    </row>
    <row r="49" customFormat="false" ht="14.4" hidden="false" customHeight="false" outlineLevel="0" collapsed="false">
      <c r="C49" s="215" t="n">
        <v>-91.1</v>
      </c>
      <c r="D49" s="215" t="n">
        <v>-713.3</v>
      </c>
      <c r="E49" s="215" t="n">
        <v>-579</v>
      </c>
      <c r="F49" s="215" t="n">
        <v>-494.3</v>
      </c>
      <c r="G49" s="215" t="n">
        <v>-1484.1</v>
      </c>
      <c r="H49" s="215" t="n">
        <v>-537.7</v>
      </c>
      <c r="I49" s="215" t="n">
        <v>-340.6</v>
      </c>
      <c r="J49" s="215" t="n">
        <v>24</v>
      </c>
      <c r="K49" s="215" t="n">
        <v>-25</v>
      </c>
      <c r="L49" s="215" t="n">
        <v>-6</v>
      </c>
    </row>
    <row r="50" customFormat="false" ht="14.4" hidden="false" customHeight="false" outlineLevel="0" collapsed="false">
      <c r="C50" s="215" t="n">
        <f aca="false">C29+C30</f>
        <v>-99</v>
      </c>
      <c r="D50" s="215" t="n">
        <f aca="false">D29+D30</f>
        <v>-711</v>
      </c>
      <c r="E50" s="215" t="n">
        <f aca="false">E29+E30</f>
        <v>-579</v>
      </c>
      <c r="F50" s="215" t="n">
        <f aca="false">F29+F30</f>
        <v>-558</v>
      </c>
      <c r="G50" s="215" t="n">
        <f aca="false">G29+G30</f>
        <v>-1484</v>
      </c>
      <c r="H50" s="215" t="n">
        <f aca="false">H29+H30</f>
        <v>-538</v>
      </c>
      <c r="I50" s="215" t="n">
        <f aca="false">I29+I30</f>
        <v>-340</v>
      </c>
      <c r="J50" s="215" t="n">
        <f aca="false">J29+J30</f>
        <v>24</v>
      </c>
      <c r="K50" s="215" t="n">
        <f aca="false">K29+K30</f>
        <v>-25</v>
      </c>
      <c r="L50" s="215" t="n">
        <f aca="false">L29+L30</f>
        <v>-6</v>
      </c>
    </row>
    <row r="54" customFormat="false" ht="14.4" hidden="false" customHeight="false" outlineLevel="0" collapsed="false">
      <c r="C54" s="215" t="n">
        <f aca="false">SUM(C17:C19)</f>
        <v>64</v>
      </c>
      <c r="D54" s="215" t="n">
        <f aca="false">SUM(D17:D19)</f>
        <v>284</v>
      </c>
      <c r="E54" s="215" t="n">
        <f aca="false">SUM(E17:E19)</f>
        <v>128</v>
      </c>
      <c r="F54" s="215" t="n">
        <f aca="false">SUM(F17:F19)</f>
        <v>12</v>
      </c>
      <c r="G54" s="215" t="n">
        <f aca="false">SUM(G17:G19)</f>
        <v>35</v>
      </c>
      <c r="H54" s="215" t="n">
        <f aca="false">SUM(H17:H19)</f>
        <v>-176</v>
      </c>
      <c r="I54" s="215" t="n">
        <f aca="false">SUM(I17:I19)</f>
        <v>12</v>
      </c>
      <c r="J54" s="215" t="n">
        <f aca="false">SUM(J17:J19)</f>
        <v>-262</v>
      </c>
      <c r="K54" s="215" t="n">
        <f aca="false">SUM(K17:K19)</f>
        <v>-227</v>
      </c>
      <c r="L54" s="215" t="n">
        <f aca="false">SUM(L17:L19)</f>
        <v>75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X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875" defaultRowHeight="15.6" zeroHeight="false" outlineLevelRow="0" outlineLevelCol="0"/>
  <cols>
    <col collapsed="false" customWidth="true" hidden="false" outlineLevel="0" max="1" min="1" style="0" width="3.22"/>
    <col collapsed="false" customWidth="true" hidden="false" outlineLevel="0" max="2" min="2" style="226" width="51.78"/>
    <col collapsed="false" customWidth="true" hidden="false" outlineLevel="0" max="12" min="3" style="227" width="9.78"/>
    <col collapsed="false" customWidth="true" hidden="false" outlineLevel="0" max="16" min="13" style="228" width="9.78"/>
  </cols>
  <sheetData>
    <row r="1" customFormat="false" ht="15.6" hidden="false" customHeight="false" outlineLevel="0" collapsed="false">
      <c r="R1" s="229"/>
      <c r="S1" s="229"/>
      <c r="T1" s="229"/>
      <c r="U1" s="229"/>
      <c r="V1" s="229"/>
    </row>
    <row r="2" customFormat="false" ht="15.6" hidden="false" customHeight="false" outlineLevel="0" collapsed="false">
      <c r="C2" s="230" t="n">
        <v>2017</v>
      </c>
      <c r="D2" s="230" t="n">
        <f aca="false">C2+1</f>
        <v>2018</v>
      </c>
      <c r="E2" s="230" t="n">
        <f aca="false">D2+1</f>
        <v>2019</v>
      </c>
      <c r="F2" s="230" t="n">
        <f aca="false">E2+1</f>
        <v>2020</v>
      </c>
      <c r="G2" s="230" t="n">
        <f aca="false">F2+1</f>
        <v>2021</v>
      </c>
      <c r="H2" s="230" t="n">
        <f aca="false">G2+1</f>
        <v>2022</v>
      </c>
      <c r="I2" s="230" t="n">
        <f aca="false">H2+1</f>
        <v>2023</v>
      </c>
      <c r="J2" s="230" t="n">
        <f aca="false">I2+1</f>
        <v>2024</v>
      </c>
      <c r="K2" s="230" t="n">
        <f aca="false">J2+1</f>
        <v>2025</v>
      </c>
      <c r="L2" s="230" t="n">
        <f aca="false">K2+1</f>
        <v>2026</v>
      </c>
      <c r="M2" s="231"/>
      <c r="N2" s="231"/>
      <c r="O2" s="231"/>
      <c r="P2" s="231"/>
      <c r="W2" s="229"/>
      <c r="X2" s="229"/>
    </row>
    <row r="3" customFormat="false" ht="1.95" hidden="false" customHeight="true" outlineLevel="0" collapsed="false">
      <c r="B3" s="232"/>
      <c r="C3" s="233"/>
      <c r="D3" s="233"/>
      <c r="E3" s="233"/>
      <c r="F3" s="233"/>
      <c r="G3" s="233"/>
      <c r="H3" s="233"/>
      <c r="I3" s="233"/>
      <c r="J3" s="233"/>
      <c r="K3" s="233"/>
      <c r="L3" s="233"/>
      <c r="M3" s="234"/>
      <c r="N3" s="235"/>
      <c r="O3" s="235"/>
      <c r="P3" s="235"/>
      <c r="R3" s="0" t="s">
        <v>409</v>
      </c>
      <c r="S3" s="0" t="s">
        <v>409</v>
      </c>
      <c r="T3" s="0" t="s">
        <v>409</v>
      </c>
      <c r="U3" s="0" t="s">
        <v>409</v>
      </c>
      <c r="V3" s="0" t="s">
        <v>409</v>
      </c>
    </row>
    <row r="4" customFormat="false" ht="14.4" hidden="false" customHeight="true" outlineLevel="0" collapsed="false">
      <c r="A4" s="0" t="s">
        <v>410</v>
      </c>
      <c r="B4" s="8" t="s">
        <v>411</v>
      </c>
      <c r="C4" s="236"/>
      <c r="D4" s="236"/>
      <c r="E4" s="236"/>
      <c r="F4" s="236"/>
      <c r="G4" s="236"/>
      <c r="H4" s="236"/>
      <c r="I4" s="236"/>
      <c r="J4" s="236"/>
      <c r="K4" s="236"/>
      <c r="L4" s="236"/>
      <c r="M4" s="147"/>
      <c r="N4" s="147"/>
      <c r="O4" s="147"/>
      <c r="P4" s="147"/>
      <c r="R4" s="155"/>
      <c r="S4" s="155"/>
      <c r="T4" s="155"/>
    </row>
    <row r="5" customFormat="false" ht="14.4" hidden="false" customHeight="true" outlineLevel="0" collapsed="false">
      <c r="B5" s="8" t="s">
        <v>412</v>
      </c>
      <c r="C5" s="236"/>
      <c r="D5" s="236"/>
      <c r="E5" s="236"/>
      <c r="F5" s="236"/>
      <c r="G5" s="236"/>
      <c r="H5" s="236"/>
      <c r="I5" s="236"/>
      <c r="J5" s="236"/>
      <c r="K5" s="236"/>
      <c r="L5" s="236"/>
      <c r="M5" s="147"/>
      <c r="N5" s="147"/>
      <c r="O5" s="147"/>
      <c r="P5" s="147"/>
    </row>
    <row r="6" s="237" customFormat="true" ht="15.6" hidden="false" customHeight="true" outlineLevel="0" collapsed="false">
      <c r="B6" s="63" t="s">
        <v>31</v>
      </c>
      <c r="C6" s="238" t="n">
        <v>145.3</v>
      </c>
      <c r="D6" s="238" t="n">
        <v>145.3</v>
      </c>
      <c r="E6" s="238" t="n">
        <v>145.3</v>
      </c>
      <c r="F6" s="238" t="n">
        <v>145.3</v>
      </c>
      <c r="G6" s="238" t="n">
        <v>145.3</v>
      </c>
      <c r="H6" s="238" t="n">
        <v>145.3</v>
      </c>
      <c r="I6" s="238" t="n">
        <v>145.5</v>
      </c>
      <c r="J6" s="238" t="n">
        <v>145</v>
      </c>
      <c r="K6" s="238" t="n">
        <v>145</v>
      </c>
      <c r="L6" s="238" t="n">
        <v>145</v>
      </c>
      <c r="M6" s="239"/>
      <c r="N6" s="239"/>
      <c r="O6" s="239"/>
      <c r="P6" s="239"/>
    </row>
    <row r="7" s="237" customFormat="true" ht="14.4" hidden="false" customHeight="true" outlineLevel="0" collapsed="false">
      <c r="B7" s="63" t="s">
        <v>413</v>
      </c>
      <c r="C7" s="238" t="n">
        <v>1640.3</v>
      </c>
      <c r="D7" s="238" t="n">
        <v>2273.8</v>
      </c>
      <c r="E7" s="238" t="n">
        <v>2945</v>
      </c>
      <c r="F7" s="238" t="n">
        <v>3582.7</v>
      </c>
      <c r="G7" s="238" t="n">
        <v>3974.5</v>
      </c>
      <c r="H7" s="238" t="n">
        <v>4808.4</v>
      </c>
      <c r="I7" s="238" t="n">
        <v>5854</v>
      </c>
      <c r="J7" s="238" t="n">
        <v>6976</v>
      </c>
      <c r="K7" s="238" t="n">
        <v>7959</v>
      </c>
      <c r="L7" s="238" t="n">
        <v>8808</v>
      </c>
      <c r="M7" s="239"/>
      <c r="N7" s="239"/>
      <c r="O7" s="239"/>
      <c r="P7" s="239"/>
    </row>
    <row r="8" customFormat="false" ht="14.4" hidden="false" customHeight="true" outlineLevel="0" collapsed="false">
      <c r="B8" s="64" t="s">
        <v>414</v>
      </c>
      <c r="C8" s="240" t="n">
        <f aca="false">C6+C7</f>
        <v>1785.6</v>
      </c>
      <c r="D8" s="240" t="n">
        <f aca="false">D6+D7</f>
        <v>2419.1</v>
      </c>
      <c r="E8" s="240" t="n">
        <f aca="false">E6+E7</f>
        <v>3090.3</v>
      </c>
      <c r="F8" s="240" t="n">
        <f aca="false">F6+F7</f>
        <v>3728</v>
      </c>
      <c r="G8" s="240" t="n">
        <f aca="false">G6+G7</f>
        <v>4119.8</v>
      </c>
      <c r="H8" s="240" t="n">
        <f aca="false">H6+H7</f>
        <v>4953.7</v>
      </c>
      <c r="I8" s="240" t="n">
        <f aca="false">I6+I7</f>
        <v>5999.5</v>
      </c>
      <c r="J8" s="240" t="n">
        <f aca="false">J6+J7</f>
        <v>7121</v>
      </c>
      <c r="K8" s="240" t="n">
        <f aca="false">K6+K7</f>
        <v>8104</v>
      </c>
      <c r="L8" s="240" t="n">
        <f aca="false">L6+L7</f>
        <v>8953</v>
      </c>
      <c r="M8" s="147"/>
      <c r="N8" s="147"/>
      <c r="O8" s="147"/>
      <c r="P8" s="147"/>
    </row>
    <row r="9" s="237" customFormat="true" ht="14.4" hidden="false" customHeight="true" outlineLevel="0" collapsed="false">
      <c r="B9" s="63" t="s">
        <v>415</v>
      </c>
      <c r="C9" s="238" t="n">
        <v>-2.5</v>
      </c>
      <c r="D9" s="238" t="n">
        <v>13.6</v>
      </c>
      <c r="E9" s="238" t="n">
        <v>-3.1</v>
      </c>
      <c r="F9" s="238" t="n">
        <v>-41.3</v>
      </c>
      <c r="G9" s="238" t="n">
        <v>-60.9</v>
      </c>
      <c r="H9" s="238" t="n">
        <v>-78.9</v>
      </c>
      <c r="I9" s="238" t="n">
        <v>0</v>
      </c>
      <c r="J9" s="238" t="n">
        <v>0</v>
      </c>
      <c r="K9" s="238" t="n">
        <v>0</v>
      </c>
      <c r="L9" s="238" t="n">
        <v>4</v>
      </c>
      <c r="M9" s="239"/>
      <c r="N9" s="239"/>
      <c r="O9" s="239"/>
      <c r="P9" s="239"/>
    </row>
    <row r="10" customFormat="false" ht="14.4" hidden="false" customHeight="true" outlineLevel="0" collapsed="false">
      <c r="A10" s="0" t="s">
        <v>109</v>
      </c>
      <c r="B10" s="8" t="s">
        <v>416</v>
      </c>
      <c r="C10" s="236"/>
      <c r="D10" s="236"/>
      <c r="E10" s="236"/>
      <c r="F10" s="236"/>
      <c r="G10" s="236"/>
      <c r="H10" s="236"/>
      <c r="I10" s="236"/>
      <c r="J10" s="236"/>
      <c r="K10" s="236"/>
      <c r="L10" s="236"/>
      <c r="M10" s="147"/>
      <c r="N10" s="147"/>
      <c r="O10" s="147"/>
      <c r="P10" s="147"/>
    </row>
    <row r="11" s="237" customFormat="true" ht="14.4" hidden="false" customHeight="true" outlineLevel="0" collapsed="false">
      <c r="B11" s="241" t="s">
        <v>135</v>
      </c>
      <c r="C11" s="238" t="n">
        <v>869.7</v>
      </c>
      <c r="D11" s="238" t="n">
        <v>762.8</v>
      </c>
      <c r="E11" s="238" t="n">
        <v>780.4</v>
      </c>
      <c r="F11" s="238" t="n">
        <v>14.7</v>
      </c>
      <c r="G11" s="238" t="n">
        <v>2.2</v>
      </c>
      <c r="H11" s="238" t="n">
        <v>0.9</v>
      </c>
      <c r="I11" s="238" t="n">
        <v>0.3</v>
      </c>
      <c r="J11" s="238" t="n">
        <v>0</v>
      </c>
      <c r="K11" s="238" t="n">
        <v>0</v>
      </c>
      <c r="L11" s="238" t="n">
        <v>0</v>
      </c>
    </row>
    <row r="12" s="237" customFormat="true" ht="15.6" hidden="false" customHeight="true" outlineLevel="0" collapsed="false">
      <c r="B12" s="241" t="s">
        <v>136</v>
      </c>
      <c r="C12" s="238" t="n">
        <v>0</v>
      </c>
      <c r="D12" s="238" t="n">
        <v>0</v>
      </c>
      <c r="E12" s="238" t="n">
        <v>0</v>
      </c>
      <c r="F12" s="238" t="n">
        <v>7.6</v>
      </c>
      <c r="G12" s="238" t="n">
        <v>26.1</v>
      </c>
      <c r="H12" s="238" t="n">
        <v>48.3</v>
      </c>
      <c r="I12" s="238" t="n">
        <v>45.1</v>
      </c>
      <c r="J12" s="238" t="n">
        <v>73</v>
      </c>
      <c r="K12" s="238" t="n">
        <v>72</v>
      </c>
      <c r="L12" s="238" t="n">
        <v>18</v>
      </c>
    </row>
    <row r="13" s="237" customFormat="true" ht="15.6" hidden="false" customHeight="true" outlineLevel="0" collapsed="false">
      <c r="B13" s="241" t="s">
        <v>417</v>
      </c>
      <c r="C13" s="242"/>
      <c r="D13" s="242"/>
      <c r="E13" s="242"/>
      <c r="F13" s="242"/>
      <c r="G13" s="242"/>
      <c r="H13" s="242"/>
      <c r="I13" s="242"/>
      <c r="J13" s="242"/>
      <c r="K13" s="242"/>
      <c r="L13" s="242"/>
    </row>
    <row r="14" s="237" customFormat="true" ht="14.4" hidden="false" customHeight="true" outlineLevel="0" collapsed="false">
      <c r="B14" s="63" t="s">
        <v>418</v>
      </c>
      <c r="C14" s="238" t="n">
        <v>0</v>
      </c>
      <c r="D14" s="238" t="n">
        <v>0</v>
      </c>
      <c r="E14" s="238" t="n">
        <v>0</v>
      </c>
      <c r="F14" s="238" t="n">
        <v>140.3</v>
      </c>
      <c r="G14" s="238" t="n">
        <v>102.5</v>
      </c>
      <c r="H14" s="238" t="n">
        <v>134.1</v>
      </c>
      <c r="I14" s="238" t="n">
        <v>80</v>
      </c>
      <c r="J14" s="238" t="n">
        <v>137</v>
      </c>
      <c r="K14" s="238" t="n">
        <v>334</v>
      </c>
      <c r="L14" s="238" t="n">
        <v>308</v>
      </c>
    </row>
    <row r="15" s="237" customFormat="true" ht="14.4" hidden="false" customHeight="true" outlineLevel="0" collapsed="false">
      <c r="B15" s="63" t="s">
        <v>419</v>
      </c>
      <c r="C15" s="238" t="n">
        <v>44.2</v>
      </c>
      <c r="D15" s="238" t="n">
        <v>52.6</v>
      </c>
      <c r="E15" s="238" t="n">
        <v>53.5</v>
      </c>
      <c r="F15" s="238" t="n">
        <v>8.2</v>
      </c>
      <c r="G15" s="238" t="n">
        <v>9.6</v>
      </c>
      <c r="H15" s="238" t="n">
        <v>14.9</v>
      </c>
      <c r="I15" s="238" t="n">
        <v>12.3</v>
      </c>
      <c r="J15" s="238" t="n">
        <v>15</v>
      </c>
      <c r="K15" s="238" t="n">
        <v>16</v>
      </c>
      <c r="L15" s="238" t="n">
        <v>41</v>
      </c>
    </row>
    <row r="16" customFormat="false" ht="14.4" hidden="false" customHeight="true" outlineLevel="0" collapsed="false">
      <c r="B16" s="64" t="s">
        <v>138</v>
      </c>
      <c r="C16" s="240" t="n">
        <f aca="false">SUM(C11:C15)</f>
        <v>913.9</v>
      </c>
      <c r="D16" s="240" t="n">
        <f aca="false">SUM(D11:D15)</f>
        <v>815.4</v>
      </c>
      <c r="E16" s="240" t="n">
        <f aca="false">SUM(E11:E15)</f>
        <v>833.9</v>
      </c>
      <c r="F16" s="240" t="n">
        <f aca="false">SUM(F11:F15)</f>
        <v>170.8</v>
      </c>
      <c r="G16" s="240" t="n">
        <f aca="false">SUM(G11:G15)</f>
        <v>140.4</v>
      </c>
      <c r="H16" s="240" t="n">
        <f aca="false">SUM(H11:H15)</f>
        <v>198.2</v>
      </c>
      <c r="I16" s="240" t="n">
        <f aca="false">SUM(I11:I15)</f>
        <v>137.7</v>
      </c>
      <c r="J16" s="240" t="n">
        <f aca="false">SUM(J11:J15)</f>
        <v>225</v>
      </c>
      <c r="K16" s="240" t="n">
        <f aca="false">SUM(K11:K15)</f>
        <v>422</v>
      </c>
      <c r="L16" s="240" t="n">
        <f aca="false">SUM(L11:L15)</f>
        <v>367</v>
      </c>
    </row>
    <row r="17" customFormat="false" ht="14.4" hidden="false" customHeight="true" outlineLevel="0" collapsed="false">
      <c r="A17" s="0" t="s">
        <v>109</v>
      </c>
      <c r="B17" s="8" t="s">
        <v>420</v>
      </c>
      <c r="C17" s="236"/>
      <c r="D17" s="236"/>
      <c r="E17" s="236"/>
      <c r="F17" s="236"/>
      <c r="G17" s="236"/>
      <c r="H17" s="236"/>
      <c r="I17" s="236"/>
      <c r="J17" s="236"/>
      <c r="K17" s="236"/>
      <c r="L17" s="236"/>
    </row>
    <row r="18" s="237" customFormat="true" ht="14.4" hidden="false" customHeight="true" outlineLevel="0" collapsed="false">
      <c r="B18" s="63" t="s">
        <v>140</v>
      </c>
      <c r="C18" s="238" t="n">
        <v>2906.9</v>
      </c>
      <c r="D18" s="238" t="n">
        <v>2301.3</v>
      </c>
      <c r="E18" s="238" t="n">
        <v>2089.4</v>
      </c>
      <c r="F18" s="238" t="n">
        <v>1606</v>
      </c>
      <c r="G18" s="238" t="n">
        <v>874.5</v>
      </c>
      <c r="H18" s="238" t="n">
        <v>340.8</v>
      </c>
      <c r="I18" s="238" t="n">
        <v>0.8</v>
      </c>
      <c r="J18" s="238" t="n">
        <v>25</v>
      </c>
      <c r="K18" s="238" t="n">
        <v>0</v>
      </c>
      <c r="L18" s="238" t="n">
        <v>6</v>
      </c>
    </row>
    <row r="19" s="237" customFormat="true" ht="15.6" hidden="false" customHeight="true" outlineLevel="0" collapsed="false">
      <c r="B19" s="63" t="s">
        <v>89</v>
      </c>
      <c r="C19" s="238" t="n">
        <v>1224.7</v>
      </c>
      <c r="D19" s="238" t="n">
        <v>1455.1</v>
      </c>
      <c r="E19" s="238" t="n">
        <v>1408.3</v>
      </c>
      <c r="F19" s="238" t="n">
        <v>1199.4</v>
      </c>
      <c r="G19" s="238" t="n">
        <v>1417.2</v>
      </c>
      <c r="H19" s="238" t="n">
        <v>1582.1</v>
      </c>
      <c r="I19" s="238" t="n">
        <v>1782.5</v>
      </c>
      <c r="J19" s="238" t="n">
        <v>1954</v>
      </c>
      <c r="K19" s="238" t="n">
        <v>2239</v>
      </c>
      <c r="L19" s="238" t="n">
        <v>2383</v>
      </c>
    </row>
    <row r="20" s="237" customFormat="true" ht="14.4" hidden="false" customHeight="true" outlineLevel="0" collapsed="false">
      <c r="B20" s="63" t="s">
        <v>142</v>
      </c>
      <c r="C20" s="238" t="n">
        <v>1792.1</v>
      </c>
      <c r="D20" s="238" t="n">
        <v>1642.5</v>
      </c>
      <c r="E20" s="238" t="n">
        <v>1344.4</v>
      </c>
      <c r="F20" s="238" t="n">
        <v>1734.5</v>
      </c>
      <c r="G20" s="238" t="n">
        <v>1472.2</v>
      </c>
      <c r="H20" s="238" t="n">
        <v>1427.4</v>
      </c>
      <c r="I20" s="238" t="n">
        <v>1467.9</v>
      </c>
      <c r="J20" s="238" t="n">
        <v>1556</v>
      </c>
      <c r="K20" s="238" t="n">
        <v>2108</v>
      </c>
      <c r="L20" s="238" t="n">
        <v>2256</v>
      </c>
      <c r="M20" s="239"/>
      <c r="N20" s="239"/>
      <c r="O20" s="239"/>
      <c r="P20" s="239"/>
    </row>
    <row r="21" s="237" customFormat="true" ht="14.4" hidden="false" customHeight="true" outlineLevel="0" collapsed="false">
      <c r="B21" s="63" t="s">
        <v>421</v>
      </c>
      <c r="C21" s="238" t="n">
        <v>275.2</v>
      </c>
      <c r="D21" s="238" t="n">
        <v>309.3</v>
      </c>
      <c r="E21" s="238" t="n">
        <v>345.7</v>
      </c>
      <c r="F21" s="238" t="n">
        <v>453.9</v>
      </c>
      <c r="G21" s="238" t="n">
        <v>573.8</v>
      </c>
      <c r="H21" s="238" t="n">
        <v>488</v>
      </c>
      <c r="I21" s="238" t="n">
        <v>373.1</v>
      </c>
      <c r="J21" s="238" t="n">
        <v>368</v>
      </c>
      <c r="K21" s="238" t="n">
        <v>375</v>
      </c>
      <c r="L21" s="238" t="n">
        <v>500</v>
      </c>
      <c r="M21" s="239"/>
      <c r="N21" s="239"/>
      <c r="O21" s="239"/>
      <c r="P21" s="239"/>
    </row>
    <row r="22" customFormat="false" ht="14.4" hidden="false" customHeight="true" outlineLevel="0" collapsed="false">
      <c r="B22" s="64" t="s">
        <v>106</v>
      </c>
      <c r="C22" s="240" t="n">
        <f aca="false">SUM(C18:C21)</f>
        <v>6198.9</v>
      </c>
      <c r="D22" s="240" t="n">
        <f aca="false">SUM(D18:D21)</f>
        <v>5708.2</v>
      </c>
      <c r="E22" s="240" t="n">
        <f aca="false">SUM(E18:E21)</f>
        <v>5187.8</v>
      </c>
      <c r="F22" s="240" t="n">
        <f aca="false">SUM(F18:F21)</f>
        <v>4993.8</v>
      </c>
      <c r="G22" s="240" t="n">
        <f aca="false">SUM(G18:G21)</f>
        <v>4337.7</v>
      </c>
      <c r="H22" s="240" t="n">
        <f aca="false">SUM(H18:H21)</f>
        <v>3838.3</v>
      </c>
      <c r="I22" s="240" t="n">
        <f aca="false">SUM(I18:I21)</f>
        <v>3624.3</v>
      </c>
      <c r="J22" s="240" t="n">
        <f aca="false">SUM(J18:J21)</f>
        <v>3903</v>
      </c>
      <c r="K22" s="240" t="n">
        <f aca="false">SUM(K18:K21)</f>
        <v>4722</v>
      </c>
      <c r="L22" s="240" t="n">
        <f aca="false">SUM(L18:L21)</f>
        <v>5145</v>
      </c>
      <c r="M22" s="147"/>
      <c r="N22" s="147"/>
      <c r="O22" s="147"/>
      <c r="P22" s="147"/>
    </row>
    <row r="23" customFormat="false" ht="14.4" hidden="false" customHeight="true" outlineLevel="0" collapsed="false">
      <c r="B23" s="243" t="s">
        <v>422</v>
      </c>
      <c r="C23" s="240" t="n">
        <f aca="false">C8+C9+C16+C22</f>
        <v>8895.9</v>
      </c>
      <c r="D23" s="240" t="n">
        <f aca="false">D8+D9+D16+D22</f>
        <v>8956.3</v>
      </c>
      <c r="E23" s="240" t="n">
        <f aca="false">E8+E9+E16+E22</f>
        <v>9108.9</v>
      </c>
      <c r="F23" s="240" t="n">
        <f aca="false">F8+F9+F16+F22</f>
        <v>8851.3</v>
      </c>
      <c r="G23" s="240" t="n">
        <f aca="false">G8+G9+G16+G22</f>
        <v>8537</v>
      </c>
      <c r="H23" s="240" t="n">
        <f aca="false">H8+H9+H16+H22</f>
        <v>8911.3</v>
      </c>
      <c r="I23" s="240" t="n">
        <f aca="false">I8+I9+I16+I22</f>
        <v>9761.5</v>
      </c>
      <c r="J23" s="240" t="n">
        <f aca="false">J8+J9+J16+J22</f>
        <v>11249</v>
      </c>
      <c r="K23" s="240" t="n">
        <f aca="false">K8+K9+K16+K22</f>
        <v>13248</v>
      </c>
      <c r="L23" s="240" t="n">
        <f aca="false">L8+L9+L16+L22</f>
        <v>14469</v>
      </c>
      <c r="M23" s="147"/>
      <c r="N23" s="147"/>
      <c r="O23" s="147"/>
      <c r="P23" s="147"/>
    </row>
    <row r="24" customFormat="false" ht="1.95" hidden="false" customHeight="true" outlineLevel="0" collapsed="false">
      <c r="B24" s="244"/>
      <c r="C24" s="245"/>
      <c r="D24" s="245"/>
      <c r="E24" s="245"/>
      <c r="F24" s="245"/>
      <c r="G24" s="245"/>
      <c r="H24" s="245"/>
      <c r="I24" s="245"/>
      <c r="J24" s="245"/>
      <c r="K24" s="245"/>
      <c r="L24" s="245"/>
      <c r="M24" s="246"/>
      <c r="N24" s="147"/>
      <c r="O24" s="147"/>
      <c r="P24" s="147"/>
    </row>
    <row r="25" customFormat="false" ht="14.4" hidden="false" customHeight="true" outlineLevel="0" collapsed="false">
      <c r="A25" s="0" t="s">
        <v>109</v>
      </c>
      <c r="B25" s="8" t="s">
        <v>423</v>
      </c>
      <c r="C25" s="236"/>
      <c r="D25" s="236"/>
      <c r="E25" s="236"/>
      <c r="F25" s="236"/>
      <c r="G25" s="236"/>
      <c r="H25" s="236"/>
      <c r="I25" s="236"/>
      <c r="J25" s="236"/>
      <c r="K25" s="236"/>
      <c r="L25" s="236"/>
      <c r="M25" s="147"/>
      <c r="N25" s="147"/>
      <c r="O25" s="147"/>
      <c r="P25" s="147"/>
    </row>
    <row r="26" customFormat="false" ht="14.4" hidden="false" customHeight="true" outlineLevel="0" collapsed="false">
      <c r="B26" s="8" t="s">
        <v>424</v>
      </c>
      <c r="C26" s="236"/>
      <c r="D26" s="236"/>
      <c r="E26" s="236"/>
      <c r="F26" s="236"/>
      <c r="G26" s="236"/>
      <c r="H26" s="236"/>
      <c r="I26" s="236"/>
      <c r="J26" s="236"/>
      <c r="K26" s="236"/>
      <c r="L26" s="236"/>
      <c r="M26" s="147"/>
      <c r="N26" s="147"/>
      <c r="O26" s="147"/>
      <c r="P26" s="147"/>
    </row>
    <row r="27" s="237" customFormat="true" ht="14.4" hidden="false" customHeight="true" outlineLevel="0" collapsed="false">
      <c r="B27" s="63" t="s">
        <v>425</v>
      </c>
      <c r="C27" s="238" t="n">
        <v>1455.4</v>
      </c>
      <c r="D27" s="238" t="n">
        <v>1371.4</v>
      </c>
      <c r="E27" s="238" t="n">
        <v>1418.2</v>
      </c>
      <c r="F27" s="238" t="n">
        <v>1551.3</v>
      </c>
      <c r="G27" s="238" t="n">
        <v>1496.6</v>
      </c>
      <c r="H27" s="238" t="n">
        <v>1475.8</v>
      </c>
      <c r="I27" s="238" t="n">
        <v>1176.2</v>
      </c>
      <c r="J27" s="238" t="n">
        <v>1210</v>
      </c>
      <c r="K27" s="238" t="n">
        <v>1382</v>
      </c>
      <c r="L27" s="238" t="n">
        <v>1273</v>
      </c>
      <c r="M27" s="239"/>
      <c r="N27" s="239"/>
      <c r="O27" s="239"/>
      <c r="P27" s="239"/>
    </row>
    <row r="28" s="237" customFormat="true" ht="15.6" hidden="false" customHeight="true" outlineLevel="0" collapsed="false">
      <c r="B28" s="63" t="s">
        <v>149</v>
      </c>
      <c r="C28" s="238" t="n">
        <v>393.2</v>
      </c>
      <c r="D28" s="238" t="n">
        <v>383.8</v>
      </c>
      <c r="E28" s="238" t="n">
        <v>373.7</v>
      </c>
      <c r="F28" s="238" t="n">
        <v>383.6</v>
      </c>
      <c r="G28" s="238" t="n">
        <v>375.5</v>
      </c>
      <c r="H28" s="238" t="n">
        <v>358</v>
      </c>
      <c r="I28" s="238" t="n">
        <v>356.7</v>
      </c>
      <c r="J28" s="238" t="n">
        <v>349</v>
      </c>
      <c r="K28" s="238" t="n">
        <v>329</v>
      </c>
      <c r="L28" s="238" t="n">
        <v>76</v>
      </c>
      <c r="M28" s="239"/>
      <c r="N28" s="239"/>
      <c r="O28" s="239"/>
      <c r="P28" s="239"/>
    </row>
    <row r="29" s="237" customFormat="true" ht="14.4" hidden="false" customHeight="true" outlineLevel="0" collapsed="false">
      <c r="B29" s="63" t="s">
        <v>426</v>
      </c>
      <c r="C29" s="238" t="n">
        <v>199.3</v>
      </c>
      <c r="D29" s="238" t="n">
        <v>101.8</v>
      </c>
      <c r="E29" s="238" t="n">
        <v>101.9</v>
      </c>
      <c r="F29" s="238" t="n">
        <v>104.1</v>
      </c>
      <c r="G29" s="238" t="n">
        <v>88.3</v>
      </c>
      <c r="H29" s="238" t="n">
        <v>87.7</v>
      </c>
      <c r="I29" s="238" t="n">
        <v>66.8</v>
      </c>
      <c r="J29" s="238" t="n">
        <v>37</v>
      </c>
      <c r="K29" s="238" t="n">
        <v>72</v>
      </c>
      <c r="L29" s="238" t="n">
        <v>77</v>
      </c>
      <c r="M29" s="239"/>
      <c r="N29" s="239"/>
      <c r="O29" s="239"/>
      <c r="P29" s="239"/>
    </row>
    <row r="30" s="237" customFormat="true" ht="14.4" hidden="false" customHeight="true" outlineLevel="0" collapsed="false">
      <c r="B30" s="63" t="s">
        <v>427</v>
      </c>
      <c r="C30" s="238" t="n">
        <v>0</v>
      </c>
      <c r="D30" s="238" t="n">
        <v>0</v>
      </c>
      <c r="E30" s="238" t="n">
        <v>16.5</v>
      </c>
      <c r="F30" s="238" t="n">
        <v>17</v>
      </c>
      <c r="G30" s="238" t="n">
        <v>8.4</v>
      </c>
      <c r="H30" s="238" t="n">
        <v>8</v>
      </c>
      <c r="I30" s="238" t="n">
        <v>16</v>
      </c>
      <c r="J30" s="238" t="n">
        <v>0</v>
      </c>
      <c r="K30" s="238" t="n">
        <v>0</v>
      </c>
      <c r="L30" s="238" t="n">
        <v>0</v>
      </c>
      <c r="M30" s="239"/>
      <c r="N30" s="239"/>
      <c r="O30" s="239"/>
      <c r="P30" s="239"/>
    </row>
    <row r="31" customFormat="false" ht="14.4" hidden="false" customHeight="true" outlineLevel="0" collapsed="false">
      <c r="A31" s="0" t="s">
        <v>109</v>
      </c>
      <c r="B31" s="64" t="s">
        <v>146</v>
      </c>
      <c r="C31" s="240" t="n">
        <f aca="false">SUM(C27:C30)</f>
        <v>2047.9</v>
      </c>
      <c r="D31" s="240" t="n">
        <f aca="false">SUM(D27:D30)</f>
        <v>1857</v>
      </c>
      <c r="E31" s="240" t="n">
        <f aca="false">SUM(E27:E30)</f>
        <v>1910.3</v>
      </c>
      <c r="F31" s="240" t="n">
        <f aca="false">SUM(F27:F30)</f>
        <v>2056</v>
      </c>
      <c r="G31" s="240" t="n">
        <f aca="false">SUM(G27:G30)</f>
        <v>1968.8</v>
      </c>
      <c r="H31" s="240" t="n">
        <f aca="false">SUM(H27:H30)</f>
        <v>1929.5</v>
      </c>
      <c r="I31" s="240" t="n">
        <f aca="false">SUM(I27:I30)</f>
        <v>1615.7</v>
      </c>
      <c r="J31" s="240" t="n">
        <f aca="false">SUM(J27:J30)</f>
        <v>1596</v>
      </c>
      <c r="K31" s="240" t="n">
        <f aca="false">SUM(K27:K30)</f>
        <v>1783</v>
      </c>
      <c r="L31" s="240" t="n">
        <f aca="false">SUM(L27:L30)</f>
        <v>1426</v>
      </c>
      <c r="M31" s="147"/>
      <c r="N31" s="147"/>
      <c r="O31" s="147"/>
      <c r="P31" s="147"/>
    </row>
    <row r="32" customFormat="false" ht="14.4" hidden="false" customHeight="true" outlineLevel="0" collapsed="false">
      <c r="B32" s="63" t="s">
        <v>428</v>
      </c>
      <c r="C32" s="238" t="n">
        <v>0</v>
      </c>
      <c r="D32" s="238" t="n">
        <v>0</v>
      </c>
      <c r="E32" s="238" t="n">
        <v>25.2</v>
      </c>
      <c r="F32" s="238" t="n">
        <v>21.9</v>
      </c>
      <c r="G32" s="238" t="n">
        <v>0</v>
      </c>
      <c r="H32" s="238" t="n">
        <v>0</v>
      </c>
      <c r="I32" s="238" t="n">
        <v>30.1</v>
      </c>
      <c r="J32" s="238" t="n">
        <v>46</v>
      </c>
      <c r="K32" s="238" t="n">
        <v>50</v>
      </c>
      <c r="L32" s="238" t="n">
        <v>14</v>
      </c>
    </row>
    <row r="33" customFormat="false" ht="14.4" hidden="false" customHeight="true" outlineLevel="0" collapsed="false">
      <c r="B33" s="241" t="s">
        <v>429</v>
      </c>
      <c r="C33" s="238" t="n">
        <v>178.1</v>
      </c>
      <c r="D33" s="238" t="n">
        <v>171.4</v>
      </c>
      <c r="E33" s="238" t="n">
        <v>290</v>
      </c>
      <c r="F33" s="238" t="n">
        <v>159</v>
      </c>
      <c r="G33" s="238" t="n">
        <v>171.1</v>
      </c>
      <c r="H33" s="238" t="n">
        <v>147.8</v>
      </c>
      <c r="I33" s="238" t="n">
        <v>157.3</v>
      </c>
      <c r="J33" s="238" t="n">
        <v>177</v>
      </c>
      <c r="K33" s="238" t="n">
        <v>155</v>
      </c>
      <c r="L33" s="238" t="n">
        <v>284</v>
      </c>
    </row>
    <row r="34" customFormat="false" ht="14.4" hidden="false" customHeight="true" outlineLevel="0" collapsed="false">
      <c r="B34" s="63" t="s">
        <v>430</v>
      </c>
      <c r="C34" s="238" t="n">
        <v>920.8</v>
      </c>
      <c r="D34" s="238" t="n">
        <v>1191.7</v>
      </c>
      <c r="E34" s="238" t="n">
        <v>1619.6</v>
      </c>
      <c r="F34" s="238" t="n">
        <v>1744.1</v>
      </c>
      <c r="G34" s="238" t="n">
        <v>1594.1</v>
      </c>
      <c r="H34" s="238" t="n">
        <v>1670.6</v>
      </c>
      <c r="I34" s="238" t="n">
        <v>1723.8</v>
      </c>
      <c r="J34" s="238" t="n">
        <v>2053</v>
      </c>
      <c r="K34" s="238" t="n">
        <v>2058</v>
      </c>
      <c r="L34" s="238" t="n">
        <v>2182</v>
      </c>
    </row>
    <row r="35" customFormat="false" ht="14.4" hidden="false" customHeight="true" outlineLevel="0" collapsed="false">
      <c r="B35" s="64" t="s">
        <v>431</v>
      </c>
      <c r="C35" s="240" t="n">
        <f aca="false">SUM(C31:C34)</f>
        <v>3146.8</v>
      </c>
      <c r="D35" s="240" t="n">
        <f aca="false">SUM(D31:D34)</f>
        <v>3220.1</v>
      </c>
      <c r="E35" s="240" t="n">
        <f aca="false">SUM(E31:E34)</f>
        <v>3845.1</v>
      </c>
      <c r="F35" s="240" t="n">
        <f aca="false">SUM(F31:F34)</f>
        <v>3981</v>
      </c>
      <c r="G35" s="240" t="n">
        <f aca="false">SUM(G31:G34)</f>
        <v>3734</v>
      </c>
      <c r="H35" s="240" t="n">
        <f aca="false">SUM(H31:H34)</f>
        <v>3747.9</v>
      </c>
      <c r="I35" s="240" t="n">
        <f aca="false">SUM(I31:I34)</f>
        <v>3526.9</v>
      </c>
      <c r="J35" s="240" t="n">
        <f aca="false">SUM(J31:J34)</f>
        <v>3872</v>
      </c>
      <c r="K35" s="240" t="n">
        <f aca="false">SUM(K31:K34)</f>
        <v>4046</v>
      </c>
      <c r="L35" s="240" t="n">
        <f aca="false">SUM(L31:L34)</f>
        <v>3906</v>
      </c>
    </row>
    <row r="36" customFormat="false" ht="15.6" hidden="false" customHeight="false" outlineLevel="0" collapsed="false">
      <c r="A36" s="0" t="s">
        <v>410</v>
      </c>
      <c r="B36" s="8" t="s">
        <v>432</v>
      </c>
      <c r="C36" s="247"/>
      <c r="D36" s="247"/>
      <c r="E36" s="247"/>
      <c r="F36" s="247"/>
      <c r="G36" s="247"/>
      <c r="H36" s="236"/>
      <c r="I36" s="236"/>
      <c r="J36" s="236"/>
      <c r="K36" s="236"/>
      <c r="L36" s="236"/>
      <c r="M36" s="147"/>
      <c r="N36" s="147"/>
      <c r="O36" s="147"/>
      <c r="P36" s="147"/>
    </row>
    <row r="37" s="237" customFormat="true" ht="14.4" hidden="false" customHeight="true" outlineLevel="0" collapsed="false">
      <c r="B37" s="63" t="s">
        <v>433</v>
      </c>
      <c r="C37" s="238" t="n">
        <v>0.1</v>
      </c>
      <c r="D37" s="238" t="n">
        <v>0.1</v>
      </c>
      <c r="E37" s="238" t="n">
        <v>0</v>
      </c>
      <c r="F37" s="238" t="n">
        <v>0</v>
      </c>
      <c r="G37" s="238" t="n">
        <v>0</v>
      </c>
      <c r="H37" s="238" t="n">
        <v>222.1</v>
      </c>
      <c r="I37" s="238" t="n">
        <v>255.8</v>
      </c>
      <c r="J37" s="238" t="n">
        <v>599</v>
      </c>
      <c r="K37" s="238" t="n">
        <v>873</v>
      </c>
      <c r="L37" s="238" t="n">
        <v>1157</v>
      </c>
      <c r="M37" s="239"/>
      <c r="N37" s="239"/>
      <c r="O37" s="239"/>
      <c r="P37" s="239"/>
    </row>
    <row r="38" s="237" customFormat="true" ht="14.4" hidden="false" customHeight="true" outlineLevel="0" collapsed="false">
      <c r="B38" s="241" t="s">
        <v>156</v>
      </c>
      <c r="C38" s="238" t="n">
        <v>1927.6</v>
      </c>
      <c r="D38" s="238" t="n">
        <v>1919.7</v>
      </c>
      <c r="E38" s="238" t="n">
        <v>1934.3</v>
      </c>
      <c r="F38" s="238" t="n">
        <v>1927.5</v>
      </c>
      <c r="G38" s="238" t="n">
        <v>2051.9</v>
      </c>
      <c r="H38" s="238" t="n">
        <v>2156.7</v>
      </c>
      <c r="I38" s="238" t="n">
        <v>2230</v>
      </c>
      <c r="J38" s="238" t="n">
        <v>2063</v>
      </c>
      <c r="K38" s="238" t="n">
        <v>2305</v>
      </c>
      <c r="L38" s="238" t="n">
        <v>2668</v>
      </c>
      <c r="M38" s="239"/>
      <c r="N38" s="239"/>
      <c r="O38" s="239"/>
      <c r="P38" s="239"/>
    </row>
    <row r="39" s="237" customFormat="true" ht="14.4" hidden="false" customHeight="true" outlineLevel="0" collapsed="false">
      <c r="B39" s="63" t="s">
        <v>434</v>
      </c>
      <c r="C39" s="238" t="n">
        <v>2953.4</v>
      </c>
      <c r="D39" s="238" t="n">
        <v>2711.2</v>
      </c>
      <c r="E39" s="238" t="n">
        <v>2542.5</v>
      </c>
      <c r="F39" s="238" t="n">
        <v>2283.5</v>
      </c>
      <c r="G39" s="238" t="n">
        <v>2187.2</v>
      </c>
      <c r="H39" s="238" t="n">
        <v>2373.6</v>
      </c>
      <c r="I39" s="238" t="n">
        <v>2434</v>
      </c>
      <c r="J39" s="238" t="n">
        <v>3056</v>
      </c>
      <c r="K39" s="238" t="n">
        <v>3410</v>
      </c>
      <c r="L39" s="238" t="n">
        <v>3609</v>
      </c>
      <c r="M39" s="239"/>
      <c r="N39" s="239"/>
      <c r="O39" s="239"/>
      <c r="P39" s="239"/>
    </row>
    <row r="40" s="237" customFormat="true" ht="15.6" hidden="false" customHeight="true" outlineLevel="0" collapsed="false">
      <c r="B40" s="63" t="s">
        <v>435</v>
      </c>
      <c r="C40" s="238" t="n">
        <v>87.2</v>
      </c>
      <c r="D40" s="238" t="n">
        <v>256</v>
      </c>
      <c r="E40" s="238" t="n">
        <v>282.9</v>
      </c>
      <c r="F40" s="238" t="n">
        <v>73.5</v>
      </c>
      <c r="G40" s="238" t="n">
        <v>83.9</v>
      </c>
      <c r="H40" s="238" t="n">
        <v>60.3</v>
      </c>
      <c r="I40" s="238" t="n">
        <v>883.3</v>
      </c>
      <c r="J40" s="238" t="n">
        <v>1269</v>
      </c>
      <c r="K40" s="238" t="n">
        <v>2030</v>
      </c>
      <c r="L40" s="238" t="n">
        <v>1977</v>
      </c>
      <c r="M40" s="239"/>
      <c r="N40" s="239"/>
      <c r="O40" s="239"/>
      <c r="P40" s="239"/>
    </row>
    <row r="41" s="237" customFormat="true" ht="14.4" hidden="false" customHeight="true" outlineLevel="0" collapsed="false">
      <c r="B41" s="63" t="s">
        <v>436</v>
      </c>
      <c r="C41" s="238" t="n">
        <v>22.7</v>
      </c>
      <c r="D41" s="238" t="n">
        <v>29.9</v>
      </c>
      <c r="E41" s="238" t="n">
        <v>16.9</v>
      </c>
      <c r="F41" s="238" t="n">
        <v>16</v>
      </c>
      <c r="G41" s="238" t="n">
        <v>15.6</v>
      </c>
      <c r="H41" s="238" t="n">
        <v>11.3</v>
      </c>
      <c r="I41" s="238" t="n">
        <v>16.3</v>
      </c>
      <c r="J41" s="238" t="n">
        <v>10</v>
      </c>
      <c r="K41" s="238" t="n">
        <v>22</v>
      </c>
      <c r="L41" s="238" t="n">
        <v>1</v>
      </c>
      <c r="M41" s="239"/>
      <c r="N41" s="239"/>
      <c r="O41" s="239"/>
      <c r="P41" s="239"/>
    </row>
    <row r="42" s="237" customFormat="true" ht="14.4" hidden="false" customHeight="true" outlineLevel="0" collapsed="false">
      <c r="B42" s="63" t="s">
        <v>437</v>
      </c>
      <c r="C42" s="238" t="n">
        <v>758.1</v>
      </c>
      <c r="D42" s="238" t="n">
        <v>819.3</v>
      </c>
      <c r="E42" s="238" t="n">
        <v>487.2</v>
      </c>
      <c r="F42" s="238" t="n">
        <v>569.8</v>
      </c>
      <c r="G42" s="238" t="n">
        <v>464.4</v>
      </c>
      <c r="H42" s="238" t="n">
        <v>339.4</v>
      </c>
      <c r="I42" s="238" t="n">
        <v>415.2</v>
      </c>
      <c r="J42" s="238" t="n">
        <v>380</v>
      </c>
      <c r="K42" s="238" t="n">
        <v>562</v>
      </c>
      <c r="L42" s="238" t="n">
        <v>1151</v>
      </c>
      <c r="M42" s="239"/>
      <c r="N42" s="239"/>
      <c r="O42" s="239"/>
      <c r="P42" s="239"/>
    </row>
    <row r="43" customFormat="false" ht="14.4" hidden="false" customHeight="true" outlineLevel="0" collapsed="false">
      <c r="B43" s="64" t="s">
        <v>159</v>
      </c>
      <c r="C43" s="240" t="n">
        <f aca="false">SUM(C37:C42)</f>
        <v>5749.1</v>
      </c>
      <c r="D43" s="240" t="n">
        <f aca="false">SUM(D37:D42)</f>
        <v>5736.2</v>
      </c>
      <c r="E43" s="240" t="n">
        <f aca="false">SUM(E37:E42)</f>
        <v>5263.8</v>
      </c>
      <c r="F43" s="240" t="n">
        <f aca="false">SUM(F37:F42)</f>
        <v>4870.3</v>
      </c>
      <c r="G43" s="240" t="n">
        <f aca="false">SUM(G37:G42)</f>
        <v>4803</v>
      </c>
      <c r="H43" s="240" t="n">
        <f aca="false">SUM(H37:H42)</f>
        <v>5163.4</v>
      </c>
      <c r="I43" s="240" t="n">
        <f aca="false">SUM(I37:I42)</f>
        <v>6234.6</v>
      </c>
      <c r="J43" s="240" t="n">
        <f aca="false">SUM(J37:J42)</f>
        <v>7377</v>
      </c>
      <c r="K43" s="240" t="n">
        <f aca="false">SUM(K37:K42)</f>
        <v>9202</v>
      </c>
      <c r="L43" s="240" t="n">
        <f aca="false">SUM(L37:L42)</f>
        <v>10563</v>
      </c>
      <c r="M43" s="147"/>
      <c r="N43" s="147"/>
      <c r="O43" s="147"/>
      <c r="P43" s="147"/>
    </row>
    <row r="44" customFormat="false" ht="14.4" hidden="false" customHeight="true" outlineLevel="0" collapsed="false">
      <c r="A44" s="0" t="s">
        <v>109</v>
      </c>
      <c r="B44" s="8" t="s">
        <v>160</v>
      </c>
      <c r="C44" s="240" t="n">
        <v>8895.9</v>
      </c>
      <c r="D44" s="240" t="n">
        <v>8956.3</v>
      </c>
      <c r="E44" s="240" t="n">
        <v>9108.9</v>
      </c>
      <c r="F44" s="240" t="n">
        <v>8851.3</v>
      </c>
      <c r="G44" s="240" t="n">
        <v>8537</v>
      </c>
      <c r="H44" s="240" t="n">
        <v>8911.3</v>
      </c>
      <c r="I44" s="240" t="n">
        <v>9761.5</v>
      </c>
      <c r="J44" s="240" t="n">
        <v>11249</v>
      </c>
      <c r="K44" s="240" t="n">
        <v>13248</v>
      </c>
      <c r="L44" s="240" t="n">
        <v>14469</v>
      </c>
      <c r="M44" s="147"/>
      <c r="N44" s="147"/>
      <c r="O44" s="147"/>
      <c r="P44" s="147"/>
    </row>
    <row r="45" customFormat="false" ht="1.95" hidden="false" customHeight="true" outlineLevel="0" collapsed="false">
      <c r="B45" s="248"/>
      <c r="C45" s="249"/>
      <c r="D45" s="249"/>
      <c r="E45" s="249"/>
      <c r="F45" s="249"/>
      <c r="G45" s="249"/>
      <c r="H45" s="246"/>
      <c r="I45" s="246"/>
      <c r="J45" s="246"/>
      <c r="K45" s="246"/>
      <c r="L45" s="246"/>
      <c r="M45" s="246"/>
      <c r="N45" s="147"/>
      <c r="O45" s="147"/>
      <c r="P45" s="147"/>
    </row>
    <row r="46" customFormat="false" ht="15.6" hidden="false" customHeight="false" outlineLevel="0" collapsed="false">
      <c r="M46" s="147"/>
      <c r="N46" s="147"/>
      <c r="O46" s="147"/>
      <c r="P46" s="147"/>
    </row>
    <row r="47" customFormat="false" ht="15.6" hidden="false" customHeight="false" outlineLevel="0" collapsed="false">
      <c r="B47" s="226" t="s">
        <v>161</v>
      </c>
      <c r="C47" s="227" t="str">
        <f aca="false">IF(C23=C44,"Matched","Unmatched")</f>
        <v>Matched</v>
      </c>
      <c r="D47" s="227" t="str">
        <f aca="false">IF(D23=D44,"Matched","Unmatched")</f>
        <v>Matched</v>
      </c>
      <c r="E47" s="227" t="str">
        <f aca="false">IF(E23=E44,"Matched","Unmatched")</f>
        <v>Matched</v>
      </c>
      <c r="F47" s="227" t="str">
        <f aca="false">IF(F23=F44,"Matched","Unmatched")</f>
        <v>Matched</v>
      </c>
      <c r="G47" s="227" t="str">
        <f aca="false">IF(G23=G44,"Matched","Unmatched")</f>
        <v>Matched</v>
      </c>
      <c r="H47" s="227" t="str">
        <f aca="false">IF(H23=H44,"Matched","Unmatched")</f>
        <v>Matched</v>
      </c>
      <c r="I47" s="227" t="str">
        <f aca="false">IF(I23=I44,"Matched","Unmatched")</f>
        <v>Matched</v>
      </c>
      <c r="J47" s="227" t="str">
        <f aca="false">IF(J23=J44,"Matched","Unmatched")</f>
        <v>Matched</v>
      </c>
      <c r="K47" s="227" t="str">
        <f aca="false">IF(K23=K44,"Matched","Unmatched")</f>
        <v>Matched</v>
      </c>
      <c r="L47" s="227" t="str">
        <f aca="false">IF(L23=L44,"Matched","Unmatched")</f>
        <v>Matched</v>
      </c>
      <c r="M47" s="227" t="str">
        <f aca="false">IF(M23=M44,"Matched","Unmatched")</f>
        <v>Matched</v>
      </c>
      <c r="N47" s="227" t="str">
        <f aca="false">IF(N23=N44,"Matched","Unmatched")</f>
        <v>Matched</v>
      </c>
      <c r="O47" s="227" t="str">
        <f aca="false">IF(O23=O44,"Matched","Unmatched")</f>
        <v>Matched</v>
      </c>
      <c r="P47" s="227" t="str">
        <f aca="false">IF(P23=P44,"Matched","Unmatched")</f>
        <v>Matched</v>
      </c>
    </row>
    <row r="48" customFormat="false" ht="14.4" hidden="false" customHeight="true" outlineLevel="0" collapsed="false"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</row>
    <row r="49" customFormat="false" ht="15.6" hidden="false" customHeight="false" outlineLevel="0" collapsed="false">
      <c r="C49" s="147" t="n">
        <f aca="false">C37+C40</f>
        <v>87.3</v>
      </c>
      <c r="D49" s="147" t="n">
        <f aca="false">D37+D40</f>
        <v>256.1</v>
      </c>
      <c r="E49" s="147" t="n">
        <f aca="false">E37+E40</f>
        <v>282.9</v>
      </c>
      <c r="F49" s="147" t="n">
        <f aca="false">F37+F40</f>
        <v>73.5</v>
      </c>
      <c r="G49" s="147" t="n">
        <f aca="false">G37+G40</f>
        <v>83.9</v>
      </c>
      <c r="H49" s="147" t="n">
        <f aca="false">H37+H40</f>
        <v>282.4</v>
      </c>
      <c r="I49" s="147" t="n">
        <f aca="false">I37+I40</f>
        <v>1139.1</v>
      </c>
      <c r="J49" s="147" t="n">
        <f aca="false">J37+J40</f>
        <v>1868</v>
      </c>
      <c r="K49" s="147" t="n">
        <f aca="false">K37+K40</f>
        <v>2903</v>
      </c>
      <c r="L49" s="147" t="n">
        <f aca="false">L37+L40</f>
        <v>3134</v>
      </c>
      <c r="M49" s="147"/>
      <c r="N49" s="147"/>
      <c r="O49" s="147"/>
      <c r="P49" s="147"/>
    </row>
    <row r="50" customFormat="false" ht="15.6" hidden="false" customHeight="false" outlineLevel="0" collapsed="false"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</row>
    <row r="53" customFormat="false" ht="15.6" hidden="false" customHeight="false" outlineLevel="0" collapsed="false">
      <c r="C53" s="25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X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875" defaultRowHeight="14.4" zeroHeight="false" outlineLevelRow="0" outlineLevelCol="0"/>
  <cols>
    <col collapsed="false" customWidth="true" hidden="false" outlineLevel="0" max="2" min="2" style="0" width="73.89"/>
    <col collapsed="false" customWidth="true" hidden="false" outlineLevel="0" max="12" min="12" style="0" width="14.55"/>
  </cols>
  <sheetData>
    <row r="2" customFormat="false" ht="14.4" hidden="false" customHeight="false" outlineLevel="0" collapsed="false">
      <c r="B2" s="8" t="s">
        <v>438</v>
      </c>
    </row>
    <row r="3" s="251" customFormat="true" ht="18" hidden="false" customHeight="true" outlineLevel="0" collapsed="false">
      <c r="B3" s="62" t="s">
        <v>20</v>
      </c>
    </row>
    <row r="4" customFormat="false" ht="14.4" hidden="false" customHeight="false" outlineLevel="0" collapsed="false">
      <c r="C4" s="8" t="n">
        <v>2022</v>
      </c>
      <c r="D4" s="8" t="n">
        <f aca="false">C4+1</f>
        <v>2023</v>
      </c>
      <c r="E4" s="8" t="n">
        <f aca="false">D4+1</f>
        <v>2024</v>
      </c>
      <c r="F4" s="8" t="n">
        <f aca="false">E4+1</f>
        <v>2025</v>
      </c>
      <c r="G4" s="8" t="n">
        <f aca="false">F4+1</f>
        <v>2026</v>
      </c>
    </row>
    <row r="5" customFormat="false" ht="14.4" hidden="false" customHeight="false" outlineLevel="0" collapsed="false">
      <c r="B5" s="8"/>
      <c r="M5" s="252" t="n">
        <v>42064</v>
      </c>
      <c r="N5" s="252" t="n">
        <v>42430</v>
      </c>
      <c r="O5" s="252" t="n">
        <v>42795</v>
      </c>
      <c r="P5" s="252" t="n">
        <v>43160</v>
      </c>
      <c r="Q5" s="252" t="n">
        <v>43525</v>
      </c>
      <c r="R5" s="252" t="n">
        <v>43891</v>
      </c>
      <c r="S5" s="252" t="n">
        <v>44256</v>
      </c>
      <c r="T5" s="252" t="n">
        <v>44621</v>
      </c>
      <c r="U5" s="252" t="n">
        <v>44986</v>
      </c>
      <c r="V5" s="252" t="n">
        <v>45352</v>
      </c>
      <c r="W5" s="252" t="n">
        <v>45717</v>
      </c>
      <c r="X5" s="252" t="n">
        <v>46082</v>
      </c>
    </row>
    <row r="6" customFormat="false" ht="14.4" hidden="false" customHeight="false" outlineLevel="0" collapsed="false">
      <c r="B6" s="0" t="s">
        <v>439</v>
      </c>
      <c r="C6" s="253" t="n">
        <v>6.1</v>
      </c>
      <c r="D6" s="253" t="n">
        <v>32</v>
      </c>
      <c r="E6" s="253" t="n">
        <v>0</v>
      </c>
      <c r="F6" s="253" t="n">
        <v>0</v>
      </c>
      <c r="G6" s="253" t="n">
        <v>0</v>
      </c>
      <c r="L6" s="0" t="s">
        <v>440</v>
      </c>
      <c r="M6" s="0" t="n">
        <v>69</v>
      </c>
      <c r="N6" s="0" t="n">
        <v>99</v>
      </c>
      <c r="O6" s="0" t="n">
        <v>122</v>
      </c>
      <c r="P6" s="0" t="n">
        <v>115</v>
      </c>
      <c r="Q6" s="0" t="n">
        <v>99</v>
      </c>
      <c r="R6" s="0" t="n">
        <v>89</v>
      </c>
      <c r="S6" s="0" t="n">
        <v>98</v>
      </c>
      <c r="T6" s="0" t="n">
        <v>89</v>
      </c>
      <c r="U6" s="0" t="n">
        <v>84</v>
      </c>
      <c r="V6" s="0" t="n">
        <v>99</v>
      </c>
      <c r="W6" s="0" t="n">
        <v>103</v>
      </c>
      <c r="X6" s="0" t="n">
        <v>106</v>
      </c>
    </row>
    <row r="7" customFormat="false" ht="14.4" hidden="false" customHeight="false" outlineLevel="0" collapsed="false">
      <c r="B7" s="0" t="s">
        <v>441</v>
      </c>
      <c r="C7" s="253" t="n">
        <v>0.4</v>
      </c>
      <c r="D7" s="253" t="n">
        <v>0</v>
      </c>
      <c r="E7" s="253" t="n">
        <v>0</v>
      </c>
      <c r="F7" s="253" t="n">
        <v>0</v>
      </c>
      <c r="G7" s="253" t="n">
        <v>0</v>
      </c>
      <c r="L7" s="0" t="s">
        <v>97</v>
      </c>
      <c r="M7" s="0" t="n">
        <v>123</v>
      </c>
      <c r="N7" s="0" t="n">
        <v>150</v>
      </c>
      <c r="O7" s="0" t="n">
        <v>226</v>
      </c>
      <c r="P7" s="0" t="n">
        <v>263</v>
      </c>
      <c r="Q7" s="0" t="n">
        <v>235</v>
      </c>
      <c r="R7" s="0" t="n">
        <v>199</v>
      </c>
      <c r="S7" s="0" t="n">
        <v>254</v>
      </c>
      <c r="T7" s="0" t="n">
        <v>229</v>
      </c>
      <c r="U7" s="0" t="n">
        <v>193</v>
      </c>
      <c r="V7" s="0" t="n">
        <v>186</v>
      </c>
      <c r="W7" s="0" t="n">
        <v>197</v>
      </c>
      <c r="X7" s="0" t="n">
        <v>146</v>
      </c>
    </row>
    <row r="8" customFormat="false" ht="14.4" hidden="false" customHeight="false" outlineLevel="0" collapsed="false">
      <c r="B8" s="0" t="s">
        <v>442</v>
      </c>
      <c r="C8" s="253" t="n">
        <v>12.3</v>
      </c>
      <c r="D8" s="253" t="n">
        <v>20.3</v>
      </c>
      <c r="E8" s="253" t="n">
        <v>12</v>
      </c>
      <c r="F8" s="253" t="n">
        <v>99</v>
      </c>
      <c r="G8" s="253" t="n">
        <v>0</v>
      </c>
      <c r="L8" s="0" t="s">
        <v>443</v>
      </c>
      <c r="M8" s="0" t="n">
        <v>56</v>
      </c>
      <c r="N8" s="0" t="n">
        <v>78</v>
      </c>
      <c r="O8" s="0" t="n">
        <v>144</v>
      </c>
      <c r="P8" s="0" t="n">
        <v>195</v>
      </c>
      <c r="Q8" s="0" t="n">
        <v>171</v>
      </c>
      <c r="R8" s="0" t="n">
        <v>124</v>
      </c>
      <c r="S8" s="0" t="n">
        <v>176</v>
      </c>
      <c r="T8" s="0" t="n">
        <v>168</v>
      </c>
      <c r="U8" s="0" t="n">
        <v>154</v>
      </c>
      <c r="V8" s="0" t="n">
        <v>176</v>
      </c>
      <c r="W8" s="0" t="n">
        <v>191</v>
      </c>
      <c r="X8" s="0" t="n">
        <v>130</v>
      </c>
    </row>
    <row r="9" customFormat="false" ht="14.4" hidden="false" customHeight="false" outlineLevel="0" collapsed="false">
      <c r="B9" s="0" t="s">
        <v>444</v>
      </c>
      <c r="C9" s="253" t="n">
        <v>0.6</v>
      </c>
      <c r="D9" s="253" t="n">
        <v>16.6</v>
      </c>
      <c r="E9" s="253" t="n">
        <v>0</v>
      </c>
      <c r="F9" s="253" t="n">
        <v>0</v>
      </c>
      <c r="G9" s="253" t="n">
        <v>0</v>
      </c>
      <c r="L9" s="0" t="s">
        <v>445</v>
      </c>
      <c r="M9" s="0" t="n">
        <v>136</v>
      </c>
      <c r="N9" s="0" t="n">
        <v>171</v>
      </c>
      <c r="O9" s="0" t="n">
        <v>205</v>
      </c>
      <c r="P9" s="0" t="n">
        <v>183</v>
      </c>
      <c r="Q9" s="0" t="n">
        <v>163</v>
      </c>
      <c r="R9" s="0" t="n">
        <v>165</v>
      </c>
      <c r="S9" s="0" t="n">
        <v>177</v>
      </c>
      <c r="T9" s="0" t="n">
        <v>150</v>
      </c>
      <c r="U9" s="0" t="n">
        <v>122</v>
      </c>
      <c r="V9" s="0" t="n">
        <v>108</v>
      </c>
      <c r="W9" s="0" t="n">
        <v>109</v>
      </c>
      <c r="X9" s="0" t="n">
        <v>121</v>
      </c>
    </row>
    <row r="10" customFormat="false" ht="14.4" hidden="false" customHeight="false" outlineLevel="0" collapsed="false">
      <c r="B10" s="0" t="s">
        <v>446</v>
      </c>
      <c r="C10" s="253" t="n">
        <v>0</v>
      </c>
      <c r="D10" s="253" t="n">
        <v>2.5</v>
      </c>
      <c r="E10" s="253" t="n">
        <v>0</v>
      </c>
      <c r="F10" s="253" t="n">
        <v>0</v>
      </c>
      <c r="G10" s="253" t="n">
        <v>0</v>
      </c>
      <c r="L10" s="0" t="s">
        <v>447</v>
      </c>
      <c r="M10" s="0" t="n">
        <v>-61</v>
      </c>
      <c r="N10" s="0" t="n">
        <v>-30</v>
      </c>
      <c r="O10" s="0" t="n">
        <v>-22</v>
      </c>
      <c r="P10" s="0" t="n">
        <v>-12</v>
      </c>
      <c r="Q10" s="0" t="n">
        <v>-8</v>
      </c>
      <c r="R10" s="0" t="n">
        <v>-8</v>
      </c>
      <c r="S10" s="0" t="n">
        <v>17</v>
      </c>
      <c r="T10" s="0" t="n">
        <v>39</v>
      </c>
      <c r="U10" s="0" t="n">
        <v>51</v>
      </c>
      <c r="V10" s="0" t="n">
        <v>52</v>
      </c>
      <c r="W10" s="0" t="n">
        <v>48</v>
      </c>
      <c r="X10" s="0" t="n">
        <v>101</v>
      </c>
    </row>
    <row r="11" customFormat="false" ht="14.4" hidden="false" customHeight="false" outlineLevel="0" collapsed="false">
      <c r="B11" s="0" t="s">
        <v>448</v>
      </c>
      <c r="C11" s="253" t="n">
        <v>13.4</v>
      </c>
      <c r="D11" s="253" t="n">
        <v>0.4</v>
      </c>
      <c r="E11" s="253" t="n">
        <v>0</v>
      </c>
      <c r="F11" s="253" t="n">
        <v>0</v>
      </c>
      <c r="G11" s="253" t="n">
        <v>0</v>
      </c>
    </row>
    <row r="12" customFormat="false" ht="14.4" hidden="false" customHeight="false" outlineLevel="0" collapsed="false">
      <c r="B12" s="0" t="s">
        <v>449</v>
      </c>
      <c r="C12" s="253" t="n">
        <v>0</v>
      </c>
      <c r="D12" s="253" t="n">
        <v>0.3</v>
      </c>
      <c r="E12" s="253" t="n">
        <v>4</v>
      </c>
      <c r="F12" s="253" t="n">
        <v>1</v>
      </c>
      <c r="G12" s="253" t="n">
        <v>0</v>
      </c>
      <c r="I12" s="55"/>
      <c r="J12" s="55"/>
    </row>
    <row r="13" customFormat="false" ht="14.4" hidden="false" customHeight="false" outlineLevel="0" collapsed="false">
      <c r="B13" s="0" t="s">
        <v>450</v>
      </c>
      <c r="C13" s="253" t="n">
        <v>2.7</v>
      </c>
      <c r="D13" s="253" t="n">
        <v>1</v>
      </c>
      <c r="E13" s="253" t="n">
        <v>14</v>
      </c>
      <c r="F13" s="253" t="n">
        <v>38</v>
      </c>
      <c r="G13" s="253" t="n">
        <v>0</v>
      </c>
      <c r="H13" s="55"/>
      <c r="J13" s="55"/>
    </row>
    <row r="14" customFormat="false" ht="14.4" hidden="false" customHeight="false" outlineLevel="0" collapsed="false">
      <c r="B14" s="254" t="s">
        <v>451</v>
      </c>
      <c r="C14" s="253" t="n">
        <v>0</v>
      </c>
      <c r="D14" s="253" t="n">
        <v>0</v>
      </c>
      <c r="E14" s="253" t="n">
        <v>42</v>
      </c>
      <c r="F14" s="253" t="n">
        <v>59</v>
      </c>
      <c r="G14" s="253" t="n">
        <v>0</v>
      </c>
    </row>
    <row r="15" customFormat="false" ht="14.4" hidden="false" customHeight="false" outlineLevel="0" collapsed="false">
      <c r="B15" s="0" t="s">
        <v>452</v>
      </c>
      <c r="C15" s="253" t="n">
        <v>0</v>
      </c>
      <c r="D15" s="253" t="n">
        <v>0</v>
      </c>
      <c r="E15" s="253" t="n">
        <v>88</v>
      </c>
      <c r="F15" s="253" t="n">
        <v>48</v>
      </c>
      <c r="G15" s="253" t="n">
        <v>0</v>
      </c>
    </row>
    <row r="16" customFormat="false" ht="14.4" hidden="false" customHeight="false" outlineLevel="0" collapsed="false">
      <c r="B16" s="0" t="s">
        <v>453</v>
      </c>
      <c r="C16" s="253" t="n">
        <v>0</v>
      </c>
      <c r="D16" s="253" t="n">
        <v>0</v>
      </c>
      <c r="E16" s="253" t="n">
        <v>0</v>
      </c>
      <c r="F16" s="253" t="n">
        <v>1</v>
      </c>
      <c r="G16" s="253" t="n">
        <v>0</v>
      </c>
    </row>
    <row r="17" customFormat="false" ht="14.4" hidden="false" customHeight="false" outlineLevel="0" collapsed="false">
      <c r="B17" s="0" t="s">
        <v>454</v>
      </c>
      <c r="C17" s="253" t="n">
        <v>0</v>
      </c>
      <c r="D17" s="253" t="n">
        <v>0</v>
      </c>
      <c r="E17" s="253" t="n">
        <v>47</v>
      </c>
      <c r="F17" s="253" t="n">
        <v>74</v>
      </c>
      <c r="G17" s="253" t="n">
        <v>0</v>
      </c>
    </row>
    <row r="18" customFormat="false" ht="14.4" hidden="false" customHeight="false" outlineLevel="0" collapsed="false">
      <c r="B18" s="0" t="s">
        <v>455</v>
      </c>
      <c r="C18" s="253" t="n">
        <v>0</v>
      </c>
      <c r="D18" s="253" t="n">
        <v>0</v>
      </c>
      <c r="E18" s="253" t="n">
        <v>18</v>
      </c>
      <c r="F18" s="253" t="n">
        <v>16</v>
      </c>
      <c r="G18" s="253" t="n">
        <v>0</v>
      </c>
    </row>
    <row r="19" customFormat="false" ht="14.4" hidden="false" customHeight="false" outlineLevel="0" collapsed="false">
      <c r="B19" s="8" t="s">
        <v>456</v>
      </c>
      <c r="C19" s="255" t="n">
        <f aca="false">SUM(C6:C18)</f>
        <v>35.5</v>
      </c>
      <c r="D19" s="255" t="n">
        <f aca="false">SUM(D6:D18)</f>
        <v>73.1</v>
      </c>
      <c r="E19" s="255" t="n">
        <f aca="false">SUM(E6:E18)</f>
        <v>225</v>
      </c>
      <c r="F19" s="255" t="n">
        <f aca="false">SUM(F6:F18)</f>
        <v>336</v>
      </c>
      <c r="G19" s="256" t="n">
        <v>478</v>
      </c>
    </row>
    <row r="20" customFormat="false" ht="14.4" hidden="false" customHeight="false" outlineLevel="0" collapsed="false">
      <c r="B20" s="0" t="s">
        <v>120</v>
      </c>
      <c r="C20" s="253" t="n">
        <v>-165.2</v>
      </c>
      <c r="D20" s="253" t="n">
        <v>176.4</v>
      </c>
      <c r="E20" s="253" t="n">
        <v>-17</v>
      </c>
      <c r="F20" s="253" t="n">
        <v>-65</v>
      </c>
      <c r="G20" s="253" t="n">
        <v>-91</v>
      </c>
    </row>
    <row r="21" customFormat="false" ht="14.4" hidden="false" customHeight="false" outlineLevel="0" collapsed="false">
      <c r="B21" s="0" t="s">
        <v>457</v>
      </c>
      <c r="C21" s="253" t="n">
        <v>0</v>
      </c>
      <c r="D21" s="253" t="n">
        <v>0</v>
      </c>
      <c r="E21" s="253" t="n">
        <v>0</v>
      </c>
      <c r="F21" s="253" t="n">
        <v>0</v>
      </c>
      <c r="G21" s="253" t="n">
        <v>129</v>
      </c>
    </row>
    <row r="22" customFormat="false" ht="14.4" hidden="false" customHeight="false" outlineLevel="0" collapsed="false">
      <c r="C22" s="55"/>
      <c r="D22" s="55"/>
      <c r="E22" s="55"/>
      <c r="F22" s="55"/>
      <c r="G22" s="55"/>
    </row>
    <row r="23" customFormat="false" ht="14.4" hidden="false" customHeight="false" outlineLevel="0" collapsed="false">
      <c r="B23" s="8" t="s">
        <v>458</v>
      </c>
      <c r="C23" s="55" t="n">
        <f aca="false">C19-SUM(C7:C11)</f>
        <v>8.8</v>
      </c>
      <c r="D23" s="55" t="n">
        <f aca="false">D19-SUM(D8:D11)</f>
        <v>33.3</v>
      </c>
      <c r="E23" s="55" t="n">
        <f aca="false">E19-E8-E12-E15</f>
        <v>121</v>
      </c>
      <c r="F23" s="55" t="n">
        <f aca="false">F19-F8-F12-F15</f>
        <v>188</v>
      </c>
      <c r="G23" s="55" t="n">
        <f aca="false">G19</f>
        <v>478</v>
      </c>
      <c r="H23" s="55"/>
      <c r="I23" s="55"/>
    </row>
    <row r="24" customFormat="false" ht="14.4" hidden="false" customHeight="false" outlineLevel="0" collapsed="false">
      <c r="B24" s="8" t="s">
        <v>459</v>
      </c>
      <c r="C24" s="55" t="n">
        <f aca="false">C19-C23</f>
        <v>26.7</v>
      </c>
      <c r="D24" s="55" t="n">
        <f aca="false">D19-D23</f>
        <v>39.8</v>
      </c>
      <c r="E24" s="55" t="n">
        <f aca="false">E19-E23</f>
        <v>104</v>
      </c>
      <c r="F24" s="55" t="n">
        <f aca="false">F19-F23</f>
        <v>148</v>
      </c>
      <c r="G24" s="55" t="n">
        <f aca="false">G20+G21</f>
        <v>38</v>
      </c>
    </row>
    <row r="25" customFormat="false" ht="14.4" hidden="false" customHeight="false" outlineLevel="0" collapsed="false">
      <c r="C25" s="55"/>
      <c r="D25" s="55"/>
      <c r="E25" s="55"/>
      <c r="F25" s="55"/>
      <c r="G25" s="55"/>
    </row>
    <row r="26" customFormat="false" ht="14.4" hidden="false" customHeight="false" outlineLevel="0" collapsed="false">
      <c r="C26" s="49" t="n">
        <f aca="false">C23/C19</f>
        <v>0.247887323943662</v>
      </c>
      <c r="D26" s="49" t="n">
        <f aca="false">D23/D19</f>
        <v>0.455540355677154</v>
      </c>
      <c r="E26" s="49" t="n">
        <f aca="false">E23/E19</f>
        <v>0.537777777777778</v>
      </c>
      <c r="F26" s="49" t="n">
        <f aca="false">F23/F19</f>
        <v>0.55952380952381</v>
      </c>
      <c r="G26" s="49" t="n">
        <f aca="false">G23/G19</f>
        <v>1</v>
      </c>
    </row>
    <row r="27" customFormat="false" ht="14.4" hidden="false" customHeight="false" outlineLevel="0" collapsed="false">
      <c r="D27" s="16" t="n">
        <f aca="false">LN(D23/C23)</f>
        <v>1.33080567550224</v>
      </c>
      <c r="E27" s="16" t="n">
        <f aca="false">LN(E23/D23)</f>
        <v>1.29023314861034</v>
      </c>
      <c r="F27" s="16" t="n">
        <f aca="false">LN(F23/E23)</f>
        <v>0.440651417233208</v>
      </c>
      <c r="G27" s="16" t="n">
        <f aca="false">LN(G23/F23)</f>
        <v>0.933168769661507</v>
      </c>
      <c r="H27" s="34"/>
      <c r="I27" s="34"/>
    </row>
    <row r="28" customFormat="false" ht="14.4" hidden="false" customHeight="false" outlineLevel="0" collapsed="false">
      <c r="C28" s="55"/>
    </row>
    <row r="29" customFormat="false" ht="18" hidden="false" customHeight="true" outlineLevel="0" collapsed="false">
      <c r="B29" s="62" t="s">
        <v>460</v>
      </c>
    </row>
    <row r="30" customFormat="false" ht="14.4" hidden="false" customHeight="false" outlineLevel="0" collapsed="false">
      <c r="C30" s="8" t="n">
        <v>2022</v>
      </c>
      <c r="D30" s="8" t="n">
        <f aca="false">C30+1</f>
        <v>2023</v>
      </c>
      <c r="E30" s="8" t="n">
        <f aca="false">D30+1</f>
        <v>2024</v>
      </c>
      <c r="F30" s="8" t="n">
        <f aca="false">E30+1</f>
        <v>2025</v>
      </c>
      <c r="G30" s="8" t="n">
        <f aca="false">F30+1</f>
        <v>2026</v>
      </c>
    </row>
    <row r="31" customFormat="false" ht="14.4" hidden="false" customHeight="false" outlineLevel="0" collapsed="false">
      <c r="B31" s="0" t="s">
        <v>461</v>
      </c>
      <c r="C31" s="148" t="n">
        <v>11.9</v>
      </c>
      <c r="D31" s="148" t="n">
        <v>16</v>
      </c>
      <c r="E31" s="148" t="n">
        <v>21</v>
      </c>
      <c r="F31" s="148" t="n">
        <v>40</v>
      </c>
    </row>
    <row r="32" customFormat="false" ht="14.4" hidden="false" customHeight="false" outlineLevel="0" collapsed="false">
      <c r="B32" s="0" t="s">
        <v>462</v>
      </c>
      <c r="C32" s="148" t="n">
        <v>38</v>
      </c>
      <c r="D32" s="148" t="n">
        <v>20.3</v>
      </c>
      <c r="E32" s="148"/>
      <c r="F32" s="148"/>
    </row>
    <row r="33" customFormat="false" ht="14.4" hidden="false" customHeight="false" outlineLevel="0" collapsed="false">
      <c r="B33" s="0" t="s">
        <v>463</v>
      </c>
      <c r="C33" s="148" t="n">
        <v>38.1</v>
      </c>
      <c r="D33" s="148" t="n">
        <v>67.6</v>
      </c>
      <c r="E33" s="148" t="n">
        <v>55</v>
      </c>
      <c r="F33" s="148" t="n">
        <v>49</v>
      </c>
    </row>
    <row r="34" customFormat="false" ht="14.4" hidden="false" customHeight="false" outlineLevel="0" collapsed="false">
      <c r="C34" s="0" t="n">
        <f aca="false">SUM(C31:C33)</f>
        <v>88</v>
      </c>
      <c r="D34" s="0" t="n">
        <f aca="false">SUM(D31:D33)</f>
        <v>103.9</v>
      </c>
      <c r="E34" s="0" t="n">
        <f aca="false">SUM(E31:E33)</f>
        <v>76</v>
      </c>
      <c r="F34" s="0" t="n">
        <f aca="false">SUM(F31:F33)</f>
        <v>89</v>
      </c>
      <c r="G34" s="148" t="n">
        <v>158</v>
      </c>
    </row>
    <row r="36" customFormat="false" ht="18" hidden="false" customHeight="true" outlineLevel="0" collapsed="false">
      <c r="B36" s="62" t="s">
        <v>464</v>
      </c>
    </row>
    <row r="37" customFormat="false" ht="14.4" hidden="false" customHeight="false" outlineLevel="0" collapsed="false">
      <c r="C37" s="8" t="n">
        <v>2022</v>
      </c>
      <c r="D37" s="8" t="n">
        <f aca="false">C37+1</f>
        <v>2023</v>
      </c>
      <c r="E37" s="8" t="n">
        <f aca="false">D37+1</f>
        <v>2024</v>
      </c>
      <c r="F37" s="8" t="n">
        <f aca="false">E37+1</f>
        <v>2025</v>
      </c>
      <c r="G37" s="8" t="n">
        <f aca="false">F37+1</f>
        <v>2026</v>
      </c>
    </row>
    <row r="38" customFormat="false" ht="14.4" hidden="false" customHeight="false" outlineLevel="0" collapsed="false">
      <c r="B38" s="0" t="s">
        <v>465</v>
      </c>
      <c r="C38" s="148" t="n">
        <v>173.3</v>
      </c>
      <c r="D38" s="148" t="n">
        <v>133.4</v>
      </c>
      <c r="E38" s="148" t="n">
        <v>121</v>
      </c>
      <c r="F38" s="148" t="n">
        <v>114</v>
      </c>
      <c r="G38" s="257" t="n">
        <f aca="false">G44*$G$41</f>
        <v>131.814690265487</v>
      </c>
    </row>
    <row r="39" customFormat="false" ht="14.4" hidden="false" customHeight="false" outlineLevel="0" collapsed="false">
      <c r="B39" s="0" t="s">
        <v>466</v>
      </c>
      <c r="C39" s="148" t="n">
        <v>109.9</v>
      </c>
      <c r="D39" s="148" t="n">
        <v>130.1</v>
      </c>
      <c r="E39" s="148" t="n">
        <v>129</v>
      </c>
      <c r="F39" s="148" t="n">
        <v>147</v>
      </c>
      <c r="G39" s="257" t="n">
        <f aca="false">G45*$G$41</f>
        <v>134.330362027353</v>
      </c>
    </row>
    <row r="40" customFormat="false" ht="14.4" hidden="false" customHeight="false" outlineLevel="0" collapsed="false">
      <c r="B40" s="0" t="s">
        <v>467</v>
      </c>
      <c r="C40" s="148" t="n">
        <v>20.6</v>
      </c>
      <c r="D40" s="148" t="n">
        <v>19</v>
      </c>
      <c r="E40" s="148" t="n">
        <v>25</v>
      </c>
      <c r="F40" s="148" t="n">
        <v>22</v>
      </c>
      <c r="G40" s="257" t="n">
        <f aca="false">G46*$G$41</f>
        <v>21.0314380625156</v>
      </c>
    </row>
    <row r="41" customFormat="false" ht="14.4" hidden="false" customHeight="false" outlineLevel="0" collapsed="false">
      <c r="B41" s="8" t="s">
        <v>468</v>
      </c>
      <c r="C41" s="8" t="n">
        <f aca="false">SUM(C38:C40)</f>
        <v>303.8</v>
      </c>
      <c r="D41" s="8" t="n">
        <f aca="false">SUM(D38:D40)</f>
        <v>282.5</v>
      </c>
      <c r="E41" s="8" t="n">
        <f aca="false">SUM(E38:E40)</f>
        <v>275</v>
      </c>
      <c r="F41" s="8" t="n">
        <f aca="false">SUM(F38:F40)</f>
        <v>283</v>
      </c>
      <c r="G41" s="258" t="n">
        <v>289</v>
      </c>
    </row>
    <row r="44" customFormat="false" ht="14.4" hidden="false" customHeight="false" outlineLevel="0" collapsed="false">
      <c r="B44" s="0" t="s">
        <v>469</v>
      </c>
      <c r="C44" s="16" t="n">
        <f aca="false">C38/$C$41</f>
        <v>0.57044107965767</v>
      </c>
      <c r="D44" s="16" t="n">
        <f aca="false">D38/$D$41</f>
        <v>0.472212389380531</v>
      </c>
      <c r="E44" s="16" t="n">
        <f aca="false">E38/$E$41</f>
        <v>0.44</v>
      </c>
      <c r="F44" s="16" t="n">
        <f aca="false">F38/$F$41</f>
        <v>0.402826855123675</v>
      </c>
      <c r="G44" s="259" t="n">
        <f aca="false">MEDIAN(C44:F44)</f>
        <v>0.456106194690265</v>
      </c>
      <c r="I44" s="8" t="str">
        <f aca="false">_xlfn.FORMULATEXT(G44)</f>
        <v>=MEDIAN(C44:F44)</v>
      </c>
    </row>
    <row r="45" customFormat="false" ht="14.4" hidden="false" customHeight="false" outlineLevel="0" collapsed="false">
      <c r="B45" s="0" t="s">
        <v>470</v>
      </c>
      <c r="C45" s="16" t="n">
        <f aca="false">C39/$C$41</f>
        <v>0.361751152073733</v>
      </c>
      <c r="D45" s="16" t="n">
        <f aca="false">D39/$D$41</f>
        <v>0.460530973451327</v>
      </c>
      <c r="E45" s="16" t="n">
        <f aca="false">E39/$E$41</f>
        <v>0.469090909090909</v>
      </c>
      <c r="F45" s="16" t="n">
        <f aca="false">F39/$F$41</f>
        <v>0.519434628975265</v>
      </c>
      <c r="G45" s="259" t="n">
        <f aca="false">MEDIAN(C45:F45)</f>
        <v>0.464810941271118</v>
      </c>
      <c r="I45" s="8" t="str">
        <f aca="false">_xlfn.FORMULATEXT(G45)</f>
        <v>=MEDIAN(C45:F45)</v>
      </c>
    </row>
    <row r="46" customFormat="false" ht="14.4" hidden="false" customHeight="false" outlineLevel="0" collapsed="false">
      <c r="B46" s="0" t="s">
        <v>471</v>
      </c>
      <c r="C46" s="16" t="n">
        <f aca="false">C40/$C$41</f>
        <v>0.0678077682685978</v>
      </c>
      <c r="D46" s="16" t="n">
        <f aca="false">D40/$D$41</f>
        <v>0.0672566371681416</v>
      </c>
      <c r="E46" s="16" t="n">
        <f aca="false">E40/$E$41</f>
        <v>0.0909090909090909</v>
      </c>
      <c r="F46" s="16" t="n">
        <f aca="false">F40/$F$41</f>
        <v>0.0777385159010601</v>
      </c>
      <c r="G46" s="259" t="n">
        <f aca="false">MEDIAN(C46:F46)</f>
        <v>0.0727731420848289</v>
      </c>
      <c r="I46" s="8" t="str">
        <f aca="false">_xlfn.FORMULATEXT(G46)</f>
        <v>=MEDIAN(C46:F46)</v>
      </c>
    </row>
    <row r="47" customFormat="false" ht="14.4" hidden="false" customHeight="false" outlineLevel="0" collapsed="false">
      <c r="C47" s="3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P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875" defaultRowHeight="14.4" zeroHeight="false" outlineLevelRow="0" outlineLevelCol="0"/>
  <cols>
    <col collapsed="false" customWidth="true" hidden="false" outlineLevel="0" max="1" min="1" style="0" width="2.77"/>
    <col collapsed="false" customWidth="true" hidden="false" outlineLevel="0" max="2" min="2" style="0" width="51.78"/>
    <col collapsed="false" customWidth="true" hidden="false" outlineLevel="0" max="12" min="3" style="55" width="9.78"/>
    <col collapsed="false" customWidth="true" hidden="false" outlineLevel="0" max="16" min="13" style="0" width="9.78"/>
  </cols>
  <sheetData>
    <row r="2" customFormat="false" ht="14.4" hidden="false" customHeight="false" outlineLevel="0" collapsed="false">
      <c r="B2" s="8" t="s">
        <v>64</v>
      </c>
      <c r="C2" s="260" t="n">
        <v>2017</v>
      </c>
      <c r="D2" s="260" t="n">
        <f aca="false">C2+1</f>
        <v>2018</v>
      </c>
      <c r="E2" s="260" t="n">
        <f aca="false">D2+1</f>
        <v>2019</v>
      </c>
      <c r="F2" s="260" t="n">
        <f aca="false">E2+1</f>
        <v>2020</v>
      </c>
      <c r="G2" s="260" t="n">
        <f aca="false">F2+1</f>
        <v>2021</v>
      </c>
      <c r="H2" s="260" t="n">
        <f aca="false">G2+1</f>
        <v>2022</v>
      </c>
      <c r="I2" s="260" t="n">
        <f aca="false">H2+1</f>
        <v>2023</v>
      </c>
      <c r="J2" s="260" t="n">
        <f aca="false">I2+1</f>
        <v>2024</v>
      </c>
      <c r="K2" s="260" t="n">
        <f aca="false">J2+1</f>
        <v>2025</v>
      </c>
      <c r="L2" s="260" t="n">
        <f aca="false">K2+1</f>
        <v>2026</v>
      </c>
      <c r="M2" s="261" t="n">
        <f aca="false">L2+1</f>
        <v>2027</v>
      </c>
      <c r="N2" s="261" t="n">
        <f aca="false">M2+1</f>
        <v>2028</v>
      </c>
      <c r="O2" s="261" t="n">
        <f aca="false">N2+1</f>
        <v>2029</v>
      </c>
      <c r="P2" s="261" t="n">
        <f aca="false">O2+1</f>
        <v>2030</v>
      </c>
    </row>
    <row r="3" customFormat="false" ht="1.95" hidden="false" customHeight="true" outlineLevel="0" collapsed="false">
      <c r="B3" s="262"/>
      <c r="C3" s="263"/>
      <c r="D3" s="263"/>
      <c r="E3" s="263"/>
      <c r="F3" s="263"/>
      <c r="G3" s="263"/>
      <c r="H3" s="263"/>
      <c r="I3" s="263"/>
      <c r="J3" s="263"/>
      <c r="K3" s="263"/>
      <c r="L3" s="263"/>
      <c r="M3" s="261"/>
      <c r="N3" s="261"/>
      <c r="O3" s="261"/>
      <c r="P3" s="261"/>
    </row>
    <row r="4" customFormat="false" ht="14.4" hidden="false" customHeight="false" outlineLevel="0" collapsed="false">
      <c r="A4" s="0" t="s">
        <v>109</v>
      </c>
      <c r="B4" s="8" t="s">
        <v>472</v>
      </c>
      <c r="C4" s="264"/>
      <c r="D4" s="264"/>
      <c r="E4" s="264"/>
      <c r="F4" s="264"/>
      <c r="G4" s="264"/>
      <c r="H4" s="264"/>
      <c r="I4" s="264"/>
      <c r="J4" s="264"/>
      <c r="K4" s="264"/>
      <c r="L4" s="264"/>
    </row>
    <row r="5" s="237" customFormat="true" ht="14.4" hidden="false" customHeight="false" outlineLevel="0" collapsed="false">
      <c r="B5" s="63" t="s">
        <v>473</v>
      </c>
      <c r="C5" s="265" t="n">
        <v>25682.7</v>
      </c>
      <c r="D5" s="265" t="n">
        <v>26335.1</v>
      </c>
      <c r="E5" s="265" t="n">
        <v>28813.8</v>
      </c>
      <c r="F5" s="265" t="n">
        <v>28776.2</v>
      </c>
      <c r="G5" s="265" t="n">
        <v>27385.1</v>
      </c>
      <c r="H5" s="265" t="n">
        <v>31004.1</v>
      </c>
      <c r="I5" s="265" t="n">
        <v>27758</v>
      </c>
      <c r="J5" s="265" t="n">
        <v>25956</v>
      </c>
      <c r="K5" s="265" t="n">
        <v>27220</v>
      </c>
      <c r="L5" s="265" t="n">
        <v>27816</v>
      </c>
    </row>
    <row r="6" s="237" customFormat="true" ht="14.4" hidden="false" customHeight="false" outlineLevel="0" collapsed="false">
      <c r="B6" s="63" t="s">
        <v>474</v>
      </c>
      <c r="C6" s="265" t="n">
        <v>16939.3</v>
      </c>
      <c r="D6" s="265" t="n">
        <v>17965.3</v>
      </c>
      <c r="E6" s="265" t="n">
        <v>19531.7</v>
      </c>
      <c r="F6" s="265" t="n">
        <v>19498.3</v>
      </c>
      <c r="G6" s="265" t="n">
        <v>19287.2</v>
      </c>
      <c r="H6" s="265" t="n">
        <v>21349.4</v>
      </c>
      <c r="I6" s="265" t="n">
        <v>17203.8</v>
      </c>
      <c r="J6" s="265" t="n">
        <v>14697</v>
      </c>
      <c r="K6" s="265" t="n">
        <v>15207</v>
      </c>
      <c r="L6" s="265" t="n">
        <v>15349</v>
      </c>
    </row>
    <row r="7" customFormat="false" ht="14.4" hidden="false" customHeight="false" outlineLevel="0" collapsed="false">
      <c r="B7" s="63" t="s">
        <v>475</v>
      </c>
      <c r="C7" s="264" t="n">
        <f aca="false">C5-C6</f>
        <v>8743.4</v>
      </c>
      <c r="D7" s="264" t="n">
        <f aca="false">D5-D6</f>
        <v>8369.8</v>
      </c>
      <c r="E7" s="264" t="n">
        <f aca="false">E5-E6</f>
        <v>9282.1</v>
      </c>
      <c r="F7" s="264" t="n">
        <f aca="false">F5-F6</f>
        <v>9277.9</v>
      </c>
      <c r="G7" s="264" t="n">
        <f aca="false">G5-G6</f>
        <v>8097.9</v>
      </c>
      <c r="H7" s="264" t="n">
        <f aca="false">H5-H6</f>
        <v>9654.7</v>
      </c>
      <c r="I7" s="264" t="n">
        <f aca="false">I5-I6</f>
        <v>10554.2</v>
      </c>
      <c r="J7" s="264" t="n">
        <f aca="false">J5-J6</f>
        <v>11259</v>
      </c>
      <c r="K7" s="264" t="n">
        <f aca="false">K5-K6</f>
        <v>12013</v>
      </c>
      <c r="L7" s="264" t="n">
        <f aca="false">L5-L6</f>
        <v>12467</v>
      </c>
    </row>
    <row r="8" s="237" customFormat="true" ht="14.4" hidden="false" customHeight="false" outlineLevel="0" collapsed="false">
      <c r="B8" s="63" t="s">
        <v>476</v>
      </c>
      <c r="C8" s="265" t="n">
        <v>74.1</v>
      </c>
      <c r="D8" s="265" t="n">
        <v>220.8</v>
      </c>
      <c r="E8" s="265" t="n">
        <v>58.7</v>
      </c>
      <c r="F8" s="265" t="n">
        <v>47.5</v>
      </c>
      <c r="G8" s="265" t="n">
        <v>33.4</v>
      </c>
      <c r="H8" s="265" t="n">
        <v>57.7</v>
      </c>
      <c r="I8" s="265" t="n">
        <v>57.4</v>
      </c>
      <c r="J8" s="265" t="n">
        <v>62</v>
      </c>
      <c r="K8" s="265" t="n">
        <v>56</v>
      </c>
      <c r="L8" s="265" t="n">
        <v>0</v>
      </c>
    </row>
    <row r="9" s="266" customFormat="true" ht="14.4" hidden="false" customHeight="false" outlineLevel="0" collapsed="false">
      <c r="B9" s="63" t="s">
        <v>477</v>
      </c>
      <c r="C9" s="267" t="n">
        <f aca="false">C8+C7</f>
        <v>8817.5</v>
      </c>
      <c r="D9" s="267" t="n">
        <f aca="false">D8+D7</f>
        <v>8590.6</v>
      </c>
      <c r="E9" s="267" t="n">
        <f aca="false">E8+E7</f>
        <v>9340.8</v>
      </c>
      <c r="F9" s="267" t="n">
        <f aca="false">F8+F7</f>
        <v>9325.4</v>
      </c>
      <c r="G9" s="267" t="n">
        <f aca="false">G8+G7</f>
        <v>8131.3</v>
      </c>
      <c r="H9" s="267" t="n">
        <f aca="false">H8+H7</f>
        <v>9712.4</v>
      </c>
      <c r="I9" s="267" t="n">
        <f aca="false">I8+I7</f>
        <v>10611.6</v>
      </c>
      <c r="J9" s="267" t="n">
        <f aca="false">J8+J7</f>
        <v>11321</v>
      </c>
      <c r="K9" s="267" t="n">
        <f aca="false">K8+K7</f>
        <v>12069</v>
      </c>
      <c r="L9" s="267" t="n">
        <f aca="false">L8+L7</f>
        <v>12467</v>
      </c>
    </row>
    <row r="10" s="237" customFormat="true" ht="14.4" hidden="false" customHeight="false" outlineLevel="0" collapsed="false">
      <c r="B10" s="63" t="s">
        <v>20</v>
      </c>
      <c r="C10" s="265" t="n">
        <v>105.3</v>
      </c>
      <c r="D10" s="265" t="n">
        <v>218.9</v>
      </c>
      <c r="E10" s="265" t="n">
        <v>69.2</v>
      </c>
      <c r="F10" s="265" t="n">
        <v>22</v>
      </c>
      <c r="G10" s="265" t="n">
        <v>39.6</v>
      </c>
      <c r="H10" s="265" t="n">
        <v>35.5</v>
      </c>
      <c r="I10" s="265" t="n">
        <v>73.1</v>
      </c>
      <c r="J10" s="265" t="n">
        <v>225</v>
      </c>
      <c r="K10" s="265" t="n">
        <v>336</v>
      </c>
      <c r="L10" s="265" t="n">
        <v>478</v>
      </c>
      <c r="N10" s="268"/>
    </row>
    <row r="11" customFormat="false" ht="14.4" hidden="false" customHeight="false" outlineLevel="0" collapsed="false">
      <c r="B11" s="64" t="s">
        <v>478</v>
      </c>
      <c r="C11" s="269" t="n">
        <f aca="false">C9+C10</f>
        <v>8922.8</v>
      </c>
      <c r="D11" s="269" t="n">
        <f aca="false">D9+D10</f>
        <v>8809.5</v>
      </c>
      <c r="E11" s="269" t="n">
        <f aca="false">E9+E10</f>
        <v>9410</v>
      </c>
      <c r="F11" s="269" t="n">
        <f aca="false">F9+F10</f>
        <v>9347.4</v>
      </c>
      <c r="G11" s="269" t="n">
        <f aca="false">G9+G10</f>
        <v>8170.9</v>
      </c>
      <c r="H11" s="269" t="n">
        <f aca="false">H9+H10</f>
        <v>9747.9</v>
      </c>
      <c r="I11" s="269" t="n">
        <f aca="false">I9+I10</f>
        <v>10684.7</v>
      </c>
      <c r="J11" s="269" t="n">
        <f aca="false">J9+J10</f>
        <v>11546</v>
      </c>
      <c r="K11" s="269" t="n">
        <f aca="false">K9+K10</f>
        <v>12405</v>
      </c>
      <c r="L11" s="269" t="n">
        <f aca="false">L9+L10</f>
        <v>12945</v>
      </c>
    </row>
    <row r="12" customFormat="false" ht="14.4" hidden="false" customHeight="false" outlineLevel="0" collapsed="false">
      <c r="A12" s="0" t="s">
        <v>109</v>
      </c>
      <c r="B12" s="8" t="s">
        <v>479</v>
      </c>
      <c r="C12" s="264"/>
      <c r="D12" s="264"/>
      <c r="E12" s="264"/>
      <c r="F12" s="264"/>
      <c r="G12" s="264"/>
      <c r="H12" s="264"/>
      <c r="I12" s="264"/>
      <c r="J12" s="264"/>
      <c r="K12" s="264"/>
      <c r="L12" s="264"/>
    </row>
    <row r="13" s="237" customFormat="true" ht="14.4" hidden="false" customHeight="false" outlineLevel="0" collapsed="false">
      <c r="B13" s="63" t="s">
        <v>480</v>
      </c>
      <c r="C13" s="265" t="n">
        <v>4675.5</v>
      </c>
      <c r="D13" s="265" t="n">
        <v>4125.9</v>
      </c>
      <c r="E13" s="265" t="n">
        <v>4254.5</v>
      </c>
      <c r="F13" s="265" t="n">
        <v>4639.8</v>
      </c>
      <c r="G13" s="265" t="n">
        <v>3973.1</v>
      </c>
      <c r="H13" s="265" t="n">
        <v>4796.9</v>
      </c>
      <c r="I13" s="265" t="n">
        <v>5337</v>
      </c>
      <c r="J13" s="265" t="n">
        <v>5254</v>
      </c>
      <c r="K13" s="265" t="n">
        <v>5443</v>
      </c>
      <c r="L13" s="265" t="n">
        <v>6007</v>
      </c>
      <c r="M13" s="268"/>
    </row>
    <row r="14" s="237" customFormat="true" ht="14.4" hidden="false" customHeight="false" outlineLevel="0" collapsed="false">
      <c r="B14" s="63" t="s">
        <v>481</v>
      </c>
      <c r="C14" s="265" t="n">
        <v>197.4</v>
      </c>
      <c r="D14" s="265" t="n">
        <v>228.8</v>
      </c>
      <c r="E14" s="265" t="n">
        <v>283.2</v>
      </c>
      <c r="F14" s="265" t="n">
        <v>290.7</v>
      </c>
      <c r="G14" s="265" t="n">
        <v>349.4</v>
      </c>
      <c r="H14" s="265" t="n">
        <v>577.3</v>
      </c>
      <c r="I14" s="265" t="n">
        <v>864.2</v>
      </c>
      <c r="J14" s="265" t="n">
        <v>675</v>
      </c>
      <c r="K14" s="265" t="n">
        <v>864</v>
      </c>
      <c r="L14" s="265" t="n">
        <v>808</v>
      </c>
      <c r="M14" s="268"/>
    </row>
    <row r="15" s="237" customFormat="true" ht="14.4" hidden="false" customHeight="false" outlineLevel="0" collapsed="false">
      <c r="B15" s="63" t="s">
        <v>482</v>
      </c>
      <c r="C15" s="265" t="n">
        <v>56.8</v>
      </c>
      <c r="D15" s="265" t="n">
        <v>-14.1</v>
      </c>
      <c r="E15" s="265" t="n">
        <v>65.7</v>
      </c>
      <c r="F15" s="265" t="n">
        <v>98.4</v>
      </c>
      <c r="G15" s="265" t="n">
        <v>133.1</v>
      </c>
      <c r="H15" s="265" t="n">
        <v>-82.7</v>
      </c>
      <c r="I15" s="265" t="n">
        <v>-137.1</v>
      </c>
      <c r="J15" s="265" t="n">
        <v>119</v>
      </c>
      <c r="K15" s="265" t="n">
        <v>90</v>
      </c>
      <c r="L15" s="265" t="n">
        <v>-141</v>
      </c>
      <c r="M15" s="268"/>
    </row>
    <row r="16" s="237" customFormat="true" ht="14.4" hidden="false" customHeight="false" outlineLevel="0" collapsed="false">
      <c r="B16" s="63" t="s">
        <v>483</v>
      </c>
      <c r="C16" s="265" t="n">
        <v>688.2</v>
      </c>
      <c r="D16" s="265" t="n">
        <v>680.9</v>
      </c>
      <c r="E16" s="265" t="n">
        <v>689.8</v>
      </c>
      <c r="F16" s="265" t="n">
        <v>530</v>
      </c>
      <c r="G16" s="265" t="n">
        <v>556.4</v>
      </c>
      <c r="H16" s="265" t="n">
        <v>653.1</v>
      </c>
      <c r="I16" s="265" t="n">
        <v>610</v>
      </c>
      <c r="J16" s="265" t="n">
        <v>547</v>
      </c>
      <c r="K16" s="265" t="n">
        <v>609</v>
      </c>
      <c r="L16" s="265" t="n">
        <v>635</v>
      </c>
      <c r="O16" s="268"/>
    </row>
    <row r="17" s="237" customFormat="true" ht="14.4" hidden="false" customHeight="false" outlineLevel="0" collapsed="false">
      <c r="B17" s="63" t="s">
        <v>484</v>
      </c>
      <c r="C17" s="265" t="n">
        <v>375.1</v>
      </c>
      <c r="D17" s="265" t="n">
        <v>271</v>
      </c>
      <c r="E17" s="265" t="n">
        <v>237.2</v>
      </c>
      <c r="F17" s="265" t="n">
        <v>212</v>
      </c>
      <c r="G17" s="265" t="n">
        <v>187.6</v>
      </c>
      <c r="H17" s="265" t="n">
        <v>88</v>
      </c>
      <c r="I17" s="265" t="n">
        <v>103.9</v>
      </c>
      <c r="J17" s="265" t="n">
        <v>76</v>
      </c>
      <c r="K17" s="265" t="n">
        <v>89</v>
      </c>
      <c r="L17" s="265" t="n">
        <v>158</v>
      </c>
      <c r="O17" s="268"/>
    </row>
    <row r="18" s="237" customFormat="true" ht="14.4" hidden="false" customHeight="false" outlineLevel="0" collapsed="false">
      <c r="B18" s="63" t="s">
        <v>485</v>
      </c>
      <c r="C18" s="265" t="n">
        <v>188.6</v>
      </c>
      <c r="D18" s="265" t="n">
        <v>192.3</v>
      </c>
      <c r="E18" s="265" t="n">
        <v>214.7</v>
      </c>
      <c r="F18" s="265" t="n">
        <v>285.3</v>
      </c>
      <c r="G18" s="265" t="n">
        <v>299.1</v>
      </c>
      <c r="H18" s="265" t="n">
        <v>303.8</v>
      </c>
      <c r="I18" s="265" t="n">
        <v>282.5</v>
      </c>
      <c r="J18" s="265" t="n">
        <v>275</v>
      </c>
      <c r="K18" s="265" t="n">
        <v>283</v>
      </c>
      <c r="L18" s="265" t="n">
        <v>289</v>
      </c>
    </row>
    <row r="19" s="237" customFormat="true" ht="14.4" hidden="false" customHeight="false" outlineLevel="0" collapsed="false">
      <c r="B19" s="63" t="s">
        <v>19</v>
      </c>
      <c r="C19" s="265" t="n">
        <v>2210.4</v>
      </c>
      <c r="D19" s="265" t="n">
        <v>2368.4</v>
      </c>
      <c r="E19" s="265" t="n">
        <v>2654</v>
      </c>
      <c r="F19" s="265" t="n">
        <v>2194.2</v>
      </c>
      <c r="G19" s="265" t="n">
        <v>2066.6</v>
      </c>
      <c r="H19" s="265" t="n">
        <v>2159.7</v>
      </c>
      <c r="I19" s="265" t="n">
        <v>2520.6</v>
      </c>
      <c r="J19" s="265" t="n">
        <v>2725</v>
      </c>
      <c r="K19" s="265" t="n">
        <v>2820</v>
      </c>
      <c r="L19" s="265" t="n">
        <v>2872</v>
      </c>
    </row>
    <row r="20" customFormat="false" ht="14.4" hidden="false" customHeight="true" outlineLevel="0" collapsed="false">
      <c r="B20" s="64" t="s">
        <v>486</v>
      </c>
      <c r="C20" s="269" t="n">
        <f aca="false">SUM(C13:C19)</f>
        <v>8392</v>
      </c>
      <c r="D20" s="269" t="n">
        <f aca="false">SUM(D13:D19)</f>
        <v>7853.2</v>
      </c>
      <c r="E20" s="269" t="n">
        <f aca="false">SUM(E13:E19)</f>
        <v>8399.1</v>
      </c>
      <c r="F20" s="269" t="n">
        <f aca="false">SUM(F13:F19)</f>
        <v>8250.4</v>
      </c>
      <c r="G20" s="269" t="n">
        <f aca="false">SUM(G13:G19)</f>
        <v>7565.3</v>
      </c>
      <c r="H20" s="269" t="n">
        <f aca="false">SUM(H13:H19)</f>
        <v>8496.1</v>
      </c>
      <c r="I20" s="269" t="n">
        <f aca="false">SUM(I13:I19)</f>
        <v>9581.1</v>
      </c>
      <c r="J20" s="269" t="n">
        <f aca="false">SUM(J13:J19)</f>
        <v>9671</v>
      </c>
      <c r="K20" s="269" t="n">
        <f aca="false">SUM(K13:K19)</f>
        <v>10198</v>
      </c>
      <c r="L20" s="269" t="n">
        <f aca="false">SUM(L13:L19)</f>
        <v>10628</v>
      </c>
    </row>
    <row r="21" customFormat="false" ht="14.4" hidden="false" customHeight="true" outlineLevel="0" collapsed="false">
      <c r="B21" s="63" t="s">
        <v>487</v>
      </c>
      <c r="C21" s="264" t="n">
        <f aca="false">C11-C20</f>
        <v>530.800000000001</v>
      </c>
      <c r="D21" s="264" t="n">
        <f aca="false">D11-D20</f>
        <v>956.299999999998</v>
      </c>
      <c r="E21" s="264" t="n">
        <f aca="false">E11-E20</f>
        <v>1010.9</v>
      </c>
      <c r="F21" s="264" t="n">
        <f aca="false">F11-F20</f>
        <v>1097</v>
      </c>
      <c r="G21" s="264" t="n">
        <f aca="false">G11-G20</f>
        <v>605.599999999998</v>
      </c>
      <c r="H21" s="264" t="n">
        <f aca="false">H11-H20</f>
        <v>1251.8</v>
      </c>
      <c r="I21" s="264" t="n">
        <f aca="false">I11-I20</f>
        <v>1103.6</v>
      </c>
      <c r="J21" s="264" t="n">
        <f aca="false">J11-J20</f>
        <v>1875</v>
      </c>
      <c r="K21" s="264" t="n">
        <f aca="false">K11-K20</f>
        <v>2207</v>
      </c>
      <c r="L21" s="264" t="n">
        <f aca="false">L11-L20</f>
        <v>2317</v>
      </c>
    </row>
    <row r="22" customFormat="false" ht="14.4" hidden="false" customHeight="true" outlineLevel="0" collapsed="false">
      <c r="B22" s="63" t="s">
        <v>120</v>
      </c>
      <c r="C22" s="265" t="n">
        <v>-368.1</v>
      </c>
      <c r="D22" s="265" t="n">
        <v>-44.5</v>
      </c>
      <c r="E22" s="265" t="n">
        <v>2.6</v>
      </c>
      <c r="F22" s="265" t="n">
        <v>66.6</v>
      </c>
      <c r="G22" s="265" t="n">
        <v>-64.3</v>
      </c>
      <c r="H22" s="265" t="n">
        <v>-165.2</v>
      </c>
      <c r="I22" s="265" t="n">
        <v>176.4</v>
      </c>
      <c r="J22" s="265" t="n">
        <v>-17</v>
      </c>
      <c r="K22" s="265" t="n">
        <v>-65</v>
      </c>
      <c r="L22" s="265" t="n">
        <v>-91</v>
      </c>
    </row>
    <row r="23" customFormat="false" ht="14.4" hidden="false" customHeight="false" outlineLevel="0" collapsed="false">
      <c r="A23" s="0" t="s">
        <v>109</v>
      </c>
      <c r="B23" s="8" t="s">
        <v>488</v>
      </c>
      <c r="C23" s="269" t="n">
        <f aca="false">C21+C22</f>
        <v>162.700000000001</v>
      </c>
      <c r="D23" s="269" t="n">
        <f aca="false">D21+D22</f>
        <v>911.799999999998</v>
      </c>
      <c r="E23" s="269" t="n">
        <f aca="false">E21+E22</f>
        <v>1013.5</v>
      </c>
      <c r="F23" s="269" t="n">
        <f aca="false">F21+F22</f>
        <v>1163.6</v>
      </c>
      <c r="G23" s="269" t="n">
        <f aca="false">G21+G22</f>
        <v>541.299999999998</v>
      </c>
      <c r="H23" s="269" t="n">
        <f aca="false">H21+H22</f>
        <v>1086.6</v>
      </c>
      <c r="I23" s="269" t="n">
        <f aca="false">I21+I22</f>
        <v>1280</v>
      </c>
      <c r="J23" s="269" t="n">
        <f aca="false">J21+J22</f>
        <v>1858</v>
      </c>
      <c r="K23" s="269" t="n">
        <f aca="false">K21+K22</f>
        <v>2142</v>
      </c>
      <c r="L23" s="269" t="n">
        <f aca="false">L21+L22</f>
        <v>2226</v>
      </c>
    </row>
    <row r="24" customFormat="false" ht="14.4" hidden="false" customHeight="false" outlineLevel="0" collapsed="false">
      <c r="B24" s="64" t="s">
        <v>489</v>
      </c>
      <c r="C24" s="270" t="n">
        <v>69.7</v>
      </c>
      <c r="D24" s="270" t="n">
        <v>259.9</v>
      </c>
      <c r="E24" s="270" t="n">
        <v>328.1</v>
      </c>
      <c r="F24" s="270" t="n">
        <v>539.7</v>
      </c>
      <c r="G24" s="270" t="n">
        <v>177.9</v>
      </c>
      <c r="H24" s="270" t="n">
        <v>276</v>
      </c>
      <c r="I24" s="270" t="n">
        <v>152.8</v>
      </c>
      <c r="J24" s="270" t="n">
        <v>449</v>
      </c>
      <c r="K24" s="270" t="n">
        <v>553</v>
      </c>
      <c r="L24" s="270" t="n">
        <v>510</v>
      </c>
    </row>
    <row r="25" customFormat="false" ht="14.4" hidden="false" customHeight="false" outlineLevel="0" collapsed="false">
      <c r="B25" s="63" t="s">
        <v>490</v>
      </c>
      <c r="C25" s="264" t="n">
        <f aca="false">C23-C24</f>
        <v>93.0000000000011</v>
      </c>
      <c r="D25" s="264" t="n">
        <f aca="false">D23-D24</f>
        <v>651.899999999998</v>
      </c>
      <c r="E25" s="264" t="n">
        <f aca="false">E23-E24</f>
        <v>685.4</v>
      </c>
      <c r="F25" s="264" t="n">
        <f aca="false">F23-F24</f>
        <v>623.900000000002</v>
      </c>
      <c r="G25" s="264" t="n">
        <f aca="false">G23-G24</f>
        <v>363.399999999998</v>
      </c>
      <c r="H25" s="264" t="n">
        <f aca="false">H23-H24</f>
        <v>810.599999999999</v>
      </c>
      <c r="I25" s="264" t="n">
        <f aca="false">I23-I24</f>
        <v>1127.2</v>
      </c>
      <c r="J25" s="264" t="n">
        <f aca="false">J23-J24</f>
        <v>1409</v>
      </c>
      <c r="K25" s="264" t="n">
        <f aca="false">K23-K24</f>
        <v>1589</v>
      </c>
      <c r="L25" s="264" t="n">
        <f aca="false">L23-L24</f>
        <v>1716</v>
      </c>
    </row>
    <row r="26" customFormat="false" ht="14.4" hidden="false" customHeight="false" outlineLevel="0" collapsed="false">
      <c r="B26" s="63" t="s">
        <v>457</v>
      </c>
      <c r="C26" s="264" t="n">
        <v>0</v>
      </c>
      <c r="D26" s="264" t="n">
        <v>0</v>
      </c>
      <c r="E26" s="264" t="n">
        <v>0</v>
      </c>
      <c r="F26" s="264" t="n">
        <v>0</v>
      </c>
      <c r="G26" s="264" t="n">
        <v>0</v>
      </c>
      <c r="H26" s="264" t="n">
        <v>0</v>
      </c>
      <c r="I26" s="264" t="n">
        <v>0</v>
      </c>
      <c r="J26" s="264" t="n">
        <v>0</v>
      </c>
      <c r="K26" s="264" t="n">
        <v>0</v>
      </c>
      <c r="L26" s="264" t="n">
        <v>129</v>
      </c>
    </row>
    <row r="27" customFormat="false" ht="14.4" hidden="false" customHeight="false" outlineLevel="0" collapsed="false">
      <c r="A27" s="0" t="s">
        <v>109</v>
      </c>
      <c r="B27" s="8" t="s">
        <v>491</v>
      </c>
      <c r="C27" s="269" t="n">
        <f aca="false">C25+C26</f>
        <v>93.0000000000011</v>
      </c>
      <c r="D27" s="269" t="n">
        <f aca="false">D25+D26</f>
        <v>651.899999999998</v>
      </c>
      <c r="E27" s="269" t="n">
        <f aca="false">E25+E26</f>
        <v>685.4</v>
      </c>
      <c r="F27" s="269" t="n">
        <f aca="false">F25+F26</f>
        <v>623.900000000002</v>
      </c>
      <c r="G27" s="269" t="n">
        <f aca="false">G25+G26</f>
        <v>363.399999999998</v>
      </c>
      <c r="H27" s="269" t="n">
        <f aca="false">H25+H26</f>
        <v>810.599999999999</v>
      </c>
      <c r="I27" s="269" t="n">
        <f aca="false">I25+I26</f>
        <v>1127.2</v>
      </c>
      <c r="J27" s="269" t="n">
        <f aca="false">J25+J26</f>
        <v>1409</v>
      </c>
      <c r="K27" s="269" t="n">
        <f aca="false">K25+K26</f>
        <v>1589</v>
      </c>
      <c r="L27" s="269" t="n">
        <f aca="false">L25+L26</f>
        <v>1845</v>
      </c>
    </row>
    <row r="29" customFormat="false" ht="14.4" hidden="false" customHeight="false" outlineLevel="0" collapsed="false">
      <c r="C29" s="55" t="n">
        <f aca="false">C26+C22+C10</f>
        <v>-262.8</v>
      </c>
      <c r="D29" s="55" t="n">
        <f aca="false">D26+D22+D10</f>
        <v>174.4</v>
      </c>
      <c r="E29" s="55" t="n">
        <f aca="false">E26+E22+E10</f>
        <v>71.8</v>
      </c>
      <c r="F29" s="55" t="n">
        <f aca="false">F26+F22+F10</f>
        <v>88.6</v>
      </c>
      <c r="G29" s="55" t="n">
        <f aca="false">G26+G22+G10</f>
        <v>-24.7</v>
      </c>
      <c r="H29" s="55" t="n">
        <f aca="false">H26+H22+H10</f>
        <v>-129.7</v>
      </c>
      <c r="I29" s="55" t="n">
        <f aca="false">I26+I22+I10</f>
        <v>249.5</v>
      </c>
      <c r="J29" s="55" t="n">
        <f aca="false">J26+J22+J10</f>
        <v>208</v>
      </c>
      <c r="K29" s="55" t="n">
        <f aca="false">K26+K22+K10</f>
        <v>271</v>
      </c>
      <c r="L29" s="55" t="n">
        <f aca="false">L26+L22+L10</f>
        <v>516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LibreOffice/7.2.5.2$Linux_X86_64 LibreOffice_project/499f9727c189e6ef3471021d6132d4c694f357e5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2026-05-16T22:30:23Z</dcterms:created>
  <dc:creator>shivam khanna</dc:creator>
  <dc:description/>
  <dc:language>en-US</dc:language>
  <cp:lastModifiedBy>shivam khanna</cp:lastModifiedBy>
  <dcterms:modified xsi:type="dcterms:W3CDTF">2026-06-18T09:22:53Z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