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EX_Financials" sheetId="3" state="visible" r:id="rId3"/>
    <sheet xmlns:r="http://schemas.openxmlformats.org/officeDocument/2006/relationships" name="HEX_Valuation" sheetId="4" state="visible" r:id="rId4"/>
    <sheet xmlns:r="http://schemas.openxmlformats.org/officeDocument/2006/relationships" name="HEX_Returns" sheetId="5" state="visible" r:id="rId5"/>
    <sheet xmlns:r="http://schemas.openxmlformats.org/officeDocument/2006/relationships" name="SIE_Financials" sheetId="6" state="visible" r:id="rId6"/>
    <sheet xmlns:r="http://schemas.openxmlformats.org/officeDocument/2006/relationships" name="SIE_Valu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&quot;x&quot;"/>
    <numFmt numFmtId="166" formatCode="0.00&quot;x&quot;"/>
    <numFmt numFmtId="167" formatCode="0&quot;x&quot;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000000"/>
      <sz val="10"/>
    </font>
    <font>
      <color rgb="000000CC"/>
      <sz val="10"/>
    </font>
    <font>
      <color rgb="00000000"/>
      <sz val="10"/>
    </font>
    <font>
      <i val="1"/>
      <color rgb="00595959"/>
      <sz val="9"/>
    </font>
    <font>
      <b val="1"/>
      <color rgb="001F3864"/>
      <sz val="11"/>
    </font>
    <font>
      <b val="1"/>
    </font>
    <font>
      <color rgb="000000CC"/>
    </font>
    <font>
      <color rgb="0000000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D6E0F0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pivotButton="0" quotePrefix="0" xfId="0"/>
    <xf numFmtId="3" fontId="0" fillId="0" borderId="1" applyAlignment="1" pivotButton="0" quotePrefix="0" xfId="0">
      <alignment horizontal="center"/>
    </xf>
    <xf numFmtId="0" fontId="6" fillId="0" borderId="1" pivotButton="0" quotePrefix="0" xfId="0"/>
    <xf numFmtId="2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7" fillId="6" borderId="0" pivotButton="0" quotePrefix="0" xfId="0"/>
    <xf numFmtId="0" fontId="8" fillId="7" borderId="0" pivotButton="0" quotePrefix="0" xfId="0"/>
    <xf numFmtId="0" fontId="8" fillId="8" borderId="0" pivotButton="0" quotePrefix="0" xfId="0"/>
    <xf numFmtId="0" fontId="4" fillId="5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0" fillId="0" borderId="1" pivotButton="0" quotePrefix="0" xfId="0"/>
    <xf numFmtId="0" fontId="7" fillId="6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4" fontId="5" fillId="0" borderId="1" applyAlignment="1" pivotButton="0" quotePrefix="0" xfId="0">
      <alignment horizontal="center"/>
    </xf>
    <xf numFmtId="164" fontId="4" fillId="5" borderId="1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164" fontId="0" fillId="0" borderId="1" pivotButton="0" quotePrefix="0" xfId="0"/>
    <xf numFmtId="0" fontId="6" fillId="0" borderId="0" pivotButton="0" quotePrefix="0" xfId="0"/>
    <xf numFmtId="165" fontId="4" fillId="5" borderId="1" applyAlignment="1" pivotButton="0" quotePrefix="0" xfId="0">
      <alignment horizontal="center"/>
    </xf>
    <xf numFmtId="3" fontId="8" fillId="6" borderId="1" pivotButton="0" quotePrefix="0" xfId="0"/>
    <xf numFmtId="2" fontId="5" fillId="0" borderId="1" applyAlignment="1" pivotButton="0" quotePrefix="0" xfId="0">
      <alignment horizontal="center"/>
    </xf>
    <xf numFmtId="166" fontId="8" fillId="6" borderId="1" pivotButton="0" quotePrefix="0" xfId="0"/>
    <xf numFmtId="164" fontId="8" fillId="6" borderId="1" pivotButton="0" quotePrefix="0" xfId="0"/>
    <xf numFmtId="0" fontId="8" fillId="0" borderId="1" pivotButton="0" quotePrefix="0" xfId="0"/>
    <xf numFmtId="3" fontId="4" fillId="5" borderId="1" applyAlignment="1" pivotButton="0" quotePrefix="0" xfId="0">
      <alignment horizontal="center"/>
    </xf>
    <xf numFmtId="167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Hexaware Revenue (INR cr)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'HEX_Financials'!$B$3:$F$3</f>
            </numRef>
          </cat>
          <val>
            <numRef>
              <f>'HEX_Financials'!$B$4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'HEX_Financials'!$B$3:$F$3</f>
            </numRef>
          </cat>
          <val>
            <numRef>
              <f>'HEX_Financials'!$C$4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'HEX_Financials'!$B$3:$F$3</f>
            </numRef>
          </cat>
          <val>
            <numRef>
              <f>'HEX_Financials'!$D$4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'HEX_Financials'!$B$3:$F$3</f>
            </numRef>
          </cat>
          <val>
            <numRef>
              <f>'HEX_Financials'!$E$4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'HEX_Financials'!$B$3:$F$3</f>
            </numRef>
          </cat>
          <val>
            <numRef>
              <f>'HEX_Financials'!$F$4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</cols>
  <sheetData>
    <row r="1" ht="26" customHeight="1">
      <c r="A1" s="1" t="inlineStr">
        <is>
          <t>IC DASHBOARD — HEADLINE OUTPUTS (linked from all sheets)</t>
        </is>
      </c>
    </row>
    <row r="3">
      <c r="A3" s="2" t="inlineStr">
        <is>
          <t>Metric</t>
        </is>
      </c>
      <c r="B3" s="2" t="inlineStr">
        <is>
          <t>Hexaware (Base)</t>
        </is>
      </c>
      <c r="C3" s="2" t="inlineStr">
        <is>
          <t>Siemens India (Base)</t>
        </is>
      </c>
      <c r="D3" s="2" t="inlineStr">
        <is>
          <t>Comment</t>
        </is>
      </c>
    </row>
    <row r="4">
      <c r="A4" s="3" t="inlineStr">
        <is>
          <t>Base equity value (INR cr)</t>
        </is>
      </c>
      <c r="B4" s="4">
        <f>HEX_Valuation!C8</f>
        <v/>
      </c>
      <c r="C4" s="4">
        <f>SIE_Valuation!C6</f>
        <v/>
      </c>
      <c r="D4" s="5" t="inlineStr">
        <is>
          <t>Most likely case</t>
        </is>
      </c>
    </row>
    <row r="5">
      <c r="A5" s="3" t="inlineStr">
        <is>
          <t>Base equity value (US$ bn)</t>
        </is>
      </c>
      <c r="B5" s="6">
        <f>HEX_Valuation!C9</f>
        <v/>
      </c>
      <c r="C5" s="6">
        <f>SIE_Valuation!C7</f>
        <v/>
      </c>
      <c r="D5" s="5" t="inlineStr">
        <is>
          <t>@FX 85</t>
        </is>
      </c>
    </row>
    <row r="6">
      <c r="A6" s="3" t="inlineStr">
        <is>
          <t>Base MOIC (x)</t>
        </is>
      </c>
      <c r="B6" s="7">
        <f>HEX_Returns!C9</f>
        <v/>
      </c>
      <c r="C6" s="7">
        <f>SIE_Valuation!C10</f>
        <v/>
      </c>
      <c r="D6" s="5" t="inlineStr">
        <is>
          <t>Hexaware real; Siemens hypothetical</t>
        </is>
      </c>
    </row>
    <row r="7">
      <c r="A7" s="3" t="inlineStr">
        <is>
          <t>Base gross IRR</t>
        </is>
      </c>
      <c r="B7" s="8">
        <f>HEX_Returns!C11</f>
        <v/>
      </c>
      <c r="C7" s="8">
        <f>SIE_Valuation!C12</f>
        <v/>
      </c>
      <c r="D7" s="5" t="inlineStr">
        <is>
          <t>Single-flow proxy</t>
        </is>
      </c>
    </row>
    <row r="8">
      <c r="A8" s="3" t="inlineStr">
        <is>
          <t>Exit readiness (/10)</t>
        </is>
      </c>
      <c r="B8" s="9" t="n">
        <v>8.4</v>
      </c>
      <c r="C8" s="9" t="n">
        <v>9</v>
      </c>
      <c r="D8" s="5" t="inlineStr">
        <is>
          <t>Siemens higher but no control</t>
        </is>
      </c>
    </row>
    <row r="9">
      <c r="A9" s="3" t="inlineStr">
        <is>
          <t>Control available to PE?</t>
        </is>
      </c>
      <c r="B9" s="9" t="inlineStr">
        <is>
          <t>YES</t>
        </is>
      </c>
      <c r="C9" s="9" t="inlineStr">
        <is>
          <t>NO</t>
        </is>
      </c>
      <c r="D9" s="5" t="inlineStr">
        <is>
          <t>Carlyle vs Siemens AG ~69%</t>
        </is>
      </c>
    </row>
    <row r="11">
      <c r="A11" s="10" t="inlineStr">
        <is>
          <t>IC VERDICT</t>
        </is>
      </c>
      <c r="B11" s="11" t="inlineStr">
        <is>
          <t>HOLD &amp; STAGGER-EXIT by ~CY2028</t>
        </is>
      </c>
      <c r="C11" s="12" t="inlineStr">
        <is>
          <t>PASS on control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36" customWidth="1" min="4" max="4"/>
  </cols>
  <sheetData>
    <row r="1" ht="26" customHeight="1">
      <c r="A1" s="1" t="inlineStr">
        <is>
          <t>PE EXIT MODEL — GLOBAL ASSUMPTIONS (single source of truth)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Source / Note</t>
        </is>
      </c>
    </row>
    <row r="4">
      <c r="A4" s="3" t="inlineStr">
        <is>
          <t>FX rate (INR per USD)</t>
        </is>
      </c>
      <c r="B4" s="13" t="n">
        <v>85</v>
      </c>
      <c r="C4" s="14" t="inlineStr">
        <is>
          <t>INR/USD</t>
        </is>
      </c>
      <c r="D4" s="5" t="inlineStr">
        <is>
          <t>Modeling assumption FY25-26</t>
        </is>
      </c>
    </row>
    <row r="5">
      <c r="A5" s="3" t="inlineStr">
        <is>
          <t>Discount rate / WACC</t>
        </is>
      </c>
      <c r="B5" s="13" t="n">
        <v>0.115</v>
      </c>
      <c r="C5" s="14" t="inlineStr">
        <is>
          <t>%</t>
        </is>
      </c>
      <c r="D5" s="5" t="inlineStr">
        <is>
          <t>Analyst estimate</t>
        </is>
      </c>
    </row>
    <row r="6">
      <c r="A6" s="3" t="inlineStr">
        <is>
          <t>Terminal growth</t>
        </is>
      </c>
      <c r="B6" s="13" t="n">
        <v>0.045</v>
      </c>
      <c r="C6" s="14" t="inlineStr">
        <is>
          <t>%</t>
        </is>
      </c>
      <c r="D6" s="5" t="inlineStr">
        <is>
          <t>Analyst estimate</t>
        </is>
      </c>
    </row>
    <row r="7">
      <c r="A7" s="15" t="inlineStr"/>
      <c r="B7" s="15" t="inlineStr"/>
      <c r="C7" s="15" t="inlineStr"/>
      <c r="D7" s="15" t="inlineStr"/>
    </row>
    <row r="8">
      <c r="A8" s="16" t="inlineStr">
        <is>
          <t>HEXAWARE — sponsor (Carlyle)</t>
        </is>
      </c>
      <c r="B8" s="15" t="n"/>
      <c r="C8" s="15" t="n"/>
      <c r="D8" s="15" t="n"/>
    </row>
    <row r="9">
      <c r="A9" s="3" t="inlineStr">
        <is>
          <t>Carlyle entry EV (2021)</t>
        </is>
      </c>
      <c r="B9" s="13" t="n">
        <v>23200</v>
      </c>
      <c r="C9" s="14" t="inlineStr">
        <is>
          <t>INR cr</t>
        </is>
      </c>
      <c r="D9" s="5" t="inlineStr">
        <is>
          <t>~US$3bn; Moneycontrol/CNBC</t>
        </is>
      </c>
    </row>
    <row r="10">
      <c r="A10" s="3" t="inlineStr">
        <is>
          <t>Carlyle entry equity (2021, est.)</t>
        </is>
      </c>
      <c r="B10" s="13" t="n">
        <v>22000</v>
      </c>
      <c r="C10" s="14" t="inlineStr">
        <is>
          <t>INR cr</t>
        </is>
      </c>
      <c r="D10" s="5" t="inlineStr">
        <is>
          <t>Estimate (net cash co.)</t>
        </is>
      </c>
    </row>
    <row r="11">
      <c r="A11" s="3" t="inlineStr">
        <is>
          <t>IPO OFS proceeds (Feb-2025)</t>
        </is>
      </c>
      <c r="B11" s="13" t="n">
        <v>8750</v>
      </c>
      <c r="C11" s="14" t="inlineStr">
        <is>
          <t>INR cr</t>
        </is>
      </c>
      <c r="D11" s="5" t="inlineStr">
        <is>
          <t>100% OFS; Carlyle</t>
        </is>
      </c>
    </row>
    <row r="12">
      <c r="A12" s="3" t="inlineStr">
        <is>
          <t>Hexaware exit-year EBITDA (est.)</t>
        </is>
      </c>
      <c r="B12" s="13" t="n">
        <v>2800</v>
      </c>
      <c r="C12" s="14" t="inlineStr">
        <is>
          <t>INR cr</t>
        </is>
      </c>
      <c r="D12" s="5" t="inlineStr">
        <is>
          <t>~18% margin on ~15.5k cr rev</t>
        </is>
      </c>
    </row>
    <row r="13">
      <c r="A13" s="3" t="inlineStr">
        <is>
          <t>Hexaware net cash (est.)</t>
        </is>
      </c>
      <c r="B13" s="13" t="n">
        <v>1500</v>
      </c>
      <c r="C13" s="14" t="inlineStr">
        <is>
          <t>INR cr</t>
        </is>
      </c>
      <c r="D13" s="5" t="inlineStr">
        <is>
          <t>Estimate</t>
        </is>
      </c>
    </row>
    <row r="14">
      <c r="A14" s="3" t="inlineStr">
        <is>
          <t>Hexaware entry year</t>
        </is>
      </c>
      <c r="B14" s="13" t="n">
        <v>2021</v>
      </c>
      <c r="C14" s="14" t="inlineStr">
        <is>
          <t>yr</t>
        </is>
      </c>
      <c r="D14" s="5" t="inlineStr">
        <is>
          <t>Carlyle acquisition</t>
        </is>
      </c>
    </row>
    <row r="15">
      <c r="A15" s="3" t="inlineStr">
        <is>
          <t>Hexaware exit year (base)</t>
        </is>
      </c>
      <c r="B15" s="13" t="n">
        <v>2028</v>
      </c>
      <c r="C15" s="14" t="inlineStr">
        <is>
          <t>yr</t>
        </is>
      </c>
      <c r="D15" s="5" t="inlineStr">
        <is>
          <t>Recommended staggered exit</t>
        </is>
      </c>
    </row>
    <row r="16">
      <c r="A16" s="15" t="inlineStr"/>
      <c r="B16" s="15" t="inlineStr"/>
      <c r="C16" s="15" t="inlineStr"/>
      <c r="D16" s="15" t="inlineStr"/>
    </row>
    <row r="17">
      <c r="A17" s="16" t="inlineStr">
        <is>
          <t>SIEMENS INDIA (continuing co.)</t>
        </is>
      </c>
      <c r="B17" s="15" t="n"/>
      <c r="C17" s="15" t="n"/>
      <c r="D17" s="15" t="n"/>
    </row>
    <row r="18">
      <c r="A18" s="3" t="inlineStr">
        <is>
          <t>Siemens exit-year PAT (est.)</t>
        </is>
      </c>
      <c r="B18" s="13" t="n">
        <v>1850</v>
      </c>
      <c r="C18" s="14" t="inlineStr">
        <is>
          <t>INR cr</t>
        </is>
      </c>
      <c r="D18" s="5" t="inlineStr">
        <is>
          <t>Continuing-ops estimate</t>
        </is>
      </c>
    </row>
    <row r="19">
      <c r="A19" s="3" t="inlineStr">
        <is>
          <t>Hypothetical entry mcap (today)</t>
        </is>
      </c>
      <c r="B19" s="13" t="n">
        <v>130000</v>
      </c>
      <c r="C19" s="14" t="inlineStr">
        <is>
          <t>INR cr</t>
        </is>
      </c>
      <c r="D19" s="5" t="inlineStr">
        <is>
          <t>Jun-2026 ~1.27-1.33 lakh cr</t>
        </is>
      </c>
    </row>
    <row r="20">
      <c r="A20" s="3" t="inlineStr">
        <is>
          <t>Hypothetical hold (years)</t>
        </is>
      </c>
      <c r="B20" s="13" t="n">
        <v>4</v>
      </c>
      <c r="C20" s="14" t="inlineStr">
        <is>
          <t>yr</t>
        </is>
      </c>
      <c r="D20" s="5" t="inlineStr">
        <is>
          <t>Illustrative</t>
        </is>
      </c>
    </row>
    <row r="22">
      <c r="A22" s="17" t="inlineStr">
        <is>
          <t>Legend:</t>
        </is>
      </c>
      <c r="B22" s="18" t="inlineStr">
        <is>
          <t>Blue = hardcoded input</t>
        </is>
      </c>
    </row>
    <row r="23">
      <c r="B23" s="19" t="inlineStr">
        <is>
          <t>Black = formula (linked)</t>
        </is>
      </c>
    </row>
  </sheetData>
  <mergeCells count="3">
    <mergeCell ref="A17:D17"/>
    <mergeCell ref="A1:E1"/>
    <mergeCell ref="A8:D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496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4" customHeight="1">
      <c r="A1" s="1" t="inlineStr">
        <is>
          <t>HEXAWARE TECHNOLOGIES — 5-YEAR FINANCIAL SUMMARY (CY, Dec-end)</t>
        </is>
      </c>
    </row>
    <row r="3">
      <c r="A3" s="2" t="inlineStr">
        <is>
          <t>Metric (INR cr unless noted)</t>
        </is>
      </c>
      <c r="B3" s="2" t="inlineStr">
        <is>
          <t>CY21</t>
        </is>
      </c>
      <c r="C3" s="2" t="inlineStr">
        <is>
          <t>CY22</t>
        </is>
      </c>
      <c r="D3" s="2" t="inlineStr">
        <is>
          <t>CY23</t>
        </is>
      </c>
      <c r="E3" s="2" t="inlineStr">
        <is>
          <t>CY24</t>
        </is>
      </c>
      <c r="F3" s="2" t="inlineStr">
        <is>
          <t>CY25</t>
        </is>
      </c>
      <c r="G3" s="2" t="inlineStr">
        <is>
          <t>CAGR/Note</t>
        </is>
      </c>
    </row>
    <row r="4">
      <c r="A4" s="3" t="inlineStr">
        <is>
          <t>Revenue (INR cr)</t>
        </is>
      </c>
      <c r="B4" s="13" t="n">
        <v>7177.7</v>
      </c>
      <c r="C4" s="13" t="n">
        <v>9199.6</v>
      </c>
      <c r="D4" s="13" t="n">
        <v>10380.3</v>
      </c>
      <c r="E4" s="13" t="n">
        <v>11974.4</v>
      </c>
      <c r="F4" s="13" t="n">
        <v>13430.4</v>
      </c>
      <c r="G4" s="20">
        <f>(F4/B4)^(1/4)-1</f>
        <v/>
      </c>
    </row>
    <row r="5">
      <c r="A5" s="3" t="inlineStr">
        <is>
          <t>Revenue (US$ m)</t>
        </is>
      </c>
      <c r="B5" s="13" t="n">
        <v>970</v>
      </c>
      <c r="C5" s="13" t="n">
        <v>1156</v>
      </c>
      <c r="D5" s="13" t="n">
        <v>1257</v>
      </c>
      <c r="E5" s="13" t="n">
        <v>1429</v>
      </c>
      <c r="F5" s="13" t="n">
        <v>1537</v>
      </c>
      <c r="G5" s="15" t="n"/>
    </row>
    <row r="6">
      <c r="A6" s="3" t="inlineStr">
        <is>
          <t>Revenue growth % (USD)</t>
        </is>
      </c>
      <c r="B6" s="20" t="inlineStr">
        <is>
          <t>n/a</t>
        </is>
      </c>
      <c r="C6" s="20">
        <f>C5/B5-1</f>
        <v/>
      </c>
      <c r="D6" s="20">
        <f>D5/C5-1</f>
        <v/>
      </c>
      <c r="E6" s="20">
        <f>E5/D5-1</f>
        <v/>
      </c>
      <c r="F6" s="20">
        <f>F5/E5-1</f>
        <v/>
      </c>
      <c r="G6" s="15" t="n"/>
    </row>
    <row r="7">
      <c r="A7" s="3" t="inlineStr">
        <is>
          <t>EBITDA margin %</t>
        </is>
      </c>
      <c r="B7" s="21" t="n">
        <v>0.17</v>
      </c>
      <c r="C7" s="21" t="n">
        <v>0.165</v>
      </c>
      <c r="D7" s="21" t="n">
        <v>0.165</v>
      </c>
      <c r="E7" s="21" t="n">
        <v>0.17</v>
      </c>
      <c r="F7" s="21" t="n">
        <v>0.167</v>
      </c>
      <c r="G7" s="15" t="n"/>
    </row>
    <row r="8">
      <c r="A8" s="3" t="inlineStr">
        <is>
          <t>EBITDA (INR cr)</t>
        </is>
      </c>
      <c r="B8" s="22">
        <f>B4*B7</f>
        <v/>
      </c>
      <c r="C8" s="22">
        <f>C4*C7</f>
        <v/>
      </c>
      <c r="D8" s="22">
        <f>D4*D7</f>
        <v/>
      </c>
      <c r="E8" s="22">
        <f>E4*E7</f>
        <v/>
      </c>
      <c r="F8" s="22">
        <f>F4*F7</f>
        <v/>
      </c>
      <c r="G8" s="15" t="n"/>
    </row>
    <row r="9">
      <c r="A9" s="3" t="inlineStr">
        <is>
          <t>PAT (INR cr)</t>
        </is>
      </c>
      <c r="B9" s="13" t="n">
        <v>750</v>
      </c>
      <c r="C9" s="13" t="n">
        <v>820</v>
      </c>
      <c r="D9" s="13" t="n">
        <v>998</v>
      </c>
      <c r="E9" s="13" t="n">
        <v>1150</v>
      </c>
      <c r="F9" s="13" t="n">
        <v>1300</v>
      </c>
      <c r="G9" s="23">
        <f>(F9/B9)^(1/4)-1</f>
        <v/>
      </c>
    </row>
    <row r="10">
      <c r="A10" s="3" t="inlineStr">
        <is>
          <t>PAT margin %</t>
        </is>
      </c>
      <c r="B10" s="20">
        <f>B9/B4</f>
        <v/>
      </c>
      <c r="C10" s="20">
        <f>C9/C4</f>
        <v/>
      </c>
      <c r="D10" s="20">
        <f>D9/D4</f>
        <v/>
      </c>
      <c r="E10" s="20">
        <f>E9/E4</f>
        <v/>
      </c>
      <c r="F10" s="20">
        <f>F9/F4</f>
        <v/>
      </c>
      <c r="G10" s="15" t="n"/>
    </row>
    <row r="12">
      <c r="A12" s="24" t="inlineStr">
        <is>
          <t>Sources: Stockopedia (INR revenue series); Hexaware/PR Newswire (USD revenue CY24=$1,429m, CY25=$1,537m); EBITDA &amp; PAT analyst estimates.</t>
        </is>
      </c>
    </row>
    <row r="13"/>
  </sheetData>
  <mergeCells count="2">
    <mergeCell ref="A12:G13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E5496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4" customHeight="1">
      <c r="A1" s="1" t="inlineStr">
        <is>
          <t>HEXAWARE — EXIT VALUATION SCENARIOS (formula-linked to Assumptions)</t>
        </is>
      </c>
    </row>
    <row r="3">
      <c r="A3" s="2" t="inlineStr">
        <is>
          <t>Input</t>
        </is>
      </c>
      <c r="B3" s="2" t="inlineStr">
        <is>
          <t>Bear</t>
        </is>
      </c>
      <c r="C3" s="2" t="inlineStr">
        <is>
          <t>Base</t>
        </is>
      </c>
      <c r="D3" s="2" t="inlineStr">
        <is>
          <t>Bull</t>
        </is>
      </c>
      <c r="E3" s="2" t="inlineStr">
        <is>
          <t>Unit/Note</t>
        </is>
      </c>
    </row>
    <row r="4">
      <c r="A4" s="3" t="inlineStr">
        <is>
          <t>Exit-year EBITDA (INR cr)</t>
        </is>
      </c>
      <c r="B4" s="22">
        <f>Assumptions!$B$12</f>
        <v/>
      </c>
      <c r="C4" s="22">
        <f>Assumptions!$B$12</f>
        <v/>
      </c>
      <c r="D4" s="22">
        <f>Assumptions!$B$12</f>
        <v/>
      </c>
      <c r="E4" s="15" t="inlineStr">
        <is>
          <t>Linked to Assumptions</t>
        </is>
      </c>
    </row>
    <row r="5">
      <c r="A5" s="3" t="inlineStr">
        <is>
          <t>Exit EV/EBITDA multiple (x)</t>
        </is>
      </c>
      <c r="B5" s="25" t="n">
        <v>13</v>
      </c>
      <c r="C5" s="25" t="n">
        <v>16</v>
      </c>
      <c r="D5" s="25" t="n">
        <v>20</v>
      </c>
      <c r="E5" s="15" t="inlineStr">
        <is>
          <t>Comps: midcap IT (de-rated 2026)</t>
        </is>
      </c>
    </row>
    <row r="6">
      <c r="A6" s="3" t="inlineStr">
        <is>
          <t>Enterprise Value (INR cr)</t>
        </is>
      </c>
      <c r="B6" s="22">
        <f>B4*B5</f>
        <v/>
      </c>
      <c r="C6" s="22">
        <f>C4*C5</f>
        <v/>
      </c>
      <c r="D6" s="22">
        <f>D4*D5</f>
        <v/>
      </c>
      <c r="E6" s="15" t="n"/>
    </row>
    <row r="7">
      <c r="A7" s="3" t="inlineStr">
        <is>
          <t>(+) Net cash (INR cr)</t>
        </is>
      </c>
      <c r="B7" s="22">
        <f>Assumptions!$B$13</f>
        <v/>
      </c>
      <c r="C7" s="22">
        <f>Assumptions!$B$13</f>
        <v/>
      </c>
      <c r="D7" s="22">
        <f>Assumptions!$B$13</f>
        <v/>
      </c>
      <c r="E7" s="15" t="n"/>
    </row>
    <row r="8">
      <c r="A8" s="3" t="inlineStr">
        <is>
          <t>Equity Value (INR cr)</t>
        </is>
      </c>
      <c r="B8" s="26">
        <f>B6+B7</f>
        <v/>
      </c>
      <c r="C8" s="26">
        <f>C6+C7</f>
        <v/>
      </c>
      <c r="D8" s="26">
        <f>D6+D7</f>
        <v/>
      </c>
      <c r="E8" s="15" t="n"/>
    </row>
    <row r="9">
      <c r="A9" s="3" t="inlineStr">
        <is>
          <t>Equity Value (US$ bn)</t>
        </is>
      </c>
      <c r="B9" s="27">
        <f>B8/Assumptions!$B$4/100</f>
        <v/>
      </c>
      <c r="C9" s="27">
        <f>C8/Assumptions!$B$4/100</f>
        <v/>
      </c>
      <c r="D9" s="27">
        <f>D8/Assumptions!$B$4/100</f>
        <v/>
      </c>
      <c r="E9" s="15" t="n"/>
    </row>
    <row r="11">
      <c r="A11" s="24" t="inlineStr">
        <is>
          <t>EV/Revenue cross-check (Base ~3.0x) and DCF (WACC 11.5%, g 4.5%) support the Base equity range. Sources: ET/Nuvama multiples; analyst est.</t>
        </is>
      </c>
    </row>
    <row r="12"/>
  </sheetData>
  <mergeCells count="2">
    <mergeCell ref="A11:E1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9000"/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4" customHeight="1">
      <c r="A1" s="1" t="inlineStr">
        <is>
          <t>HEXAWARE — SPONSOR RETURNS (Carlyle) — formula-linked</t>
        </is>
      </c>
    </row>
    <row r="3">
      <c r="A3" s="2" t="inlineStr">
        <is>
          <t>Metric</t>
        </is>
      </c>
      <c r="B3" s="2" t="inlineStr">
        <is>
          <t>Bear</t>
        </is>
      </c>
      <c r="C3" s="2" t="inlineStr">
        <is>
          <t>Base</t>
        </is>
      </c>
      <c r="D3" s="2" t="inlineStr">
        <is>
          <t>Bull</t>
        </is>
      </c>
      <c r="E3" s="2" t="inlineStr">
        <is>
          <t>Note</t>
        </is>
      </c>
    </row>
    <row r="4">
      <c r="A4" s="3" t="inlineStr">
        <is>
          <t>Entry equity (INR cr, 2021)</t>
        </is>
      </c>
      <c r="B4" s="22">
        <f>Assumptions!$B$10</f>
        <v/>
      </c>
      <c r="C4" s="22">
        <f>Assumptions!$B$10</f>
        <v/>
      </c>
      <c r="D4" s="22">
        <f>Assumptions!$B$10</f>
        <v/>
      </c>
      <c r="E4" s="15" t="n"/>
    </row>
    <row r="5">
      <c r="A5" s="3" t="inlineStr">
        <is>
          <t>IPO OFS realised (INR cr, 2025)</t>
        </is>
      </c>
      <c r="B5" s="22">
        <f>Assumptions!$B$11</f>
        <v/>
      </c>
      <c r="C5" s="22">
        <f>Assumptions!$B$11</f>
        <v/>
      </c>
      <c r="D5" s="22">
        <f>Assumptions!$B$11</f>
        <v/>
      </c>
      <c r="E5" s="15" t="n"/>
    </row>
    <row r="6">
      <c r="A6" s="3" t="inlineStr">
        <is>
          <t>Residual stake % at exit</t>
        </is>
      </c>
      <c r="B6" s="21" t="n">
        <v>0.741</v>
      </c>
      <c r="C6" s="21" t="n">
        <v>0.741</v>
      </c>
      <c r="D6" s="21" t="n">
        <v>0.741</v>
      </c>
      <c r="E6" s="15" t="n"/>
    </row>
    <row r="7">
      <c r="A7" s="3" t="inlineStr">
        <is>
          <t>Residual equity value (INR cr)</t>
        </is>
      </c>
      <c r="B7" s="22">
        <f>HEX_Valuation!B8*B6</f>
        <v/>
      </c>
      <c r="C7" s="22">
        <f>HEX_Valuation!C8*C6</f>
        <v/>
      </c>
      <c r="D7" s="22">
        <f>HEX_Valuation!D8*D6</f>
        <v/>
      </c>
      <c r="E7" s="15" t="n"/>
    </row>
    <row r="8">
      <c r="A8" s="3" t="inlineStr">
        <is>
          <t>Total realisations (INR cr)</t>
        </is>
      </c>
      <c r="B8" s="22">
        <f>B5+B7</f>
        <v/>
      </c>
      <c r="C8" s="22">
        <f>C5+C7</f>
        <v/>
      </c>
      <c r="D8" s="22">
        <f>D5+D7</f>
        <v/>
      </c>
      <c r="E8" s="15" t="n"/>
    </row>
    <row r="9">
      <c r="A9" s="3" t="inlineStr">
        <is>
          <t>MOIC (x)</t>
        </is>
      </c>
      <c r="B9" s="28">
        <f>B8/B4</f>
        <v/>
      </c>
      <c r="C9" s="28">
        <f>C8/C4</f>
        <v/>
      </c>
      <c r="D9" s="28">
        <f>D8/D4</f>
        <v/>
      </c>
      <c r="E9" s="15" t="n"/>
    </row>
    <row r="10">
      <c r="A10" s="3" t="inlineStr">
        <is>
          <t>Holding period (years)</t>
        </is>
      </c>
      <c r="B10" s="13" t="n">
        <v>7</v>
      </c>
      <c r="C10" s="13" t="n">
        <v>7</v>
      </c>
      <c r="D10" s="13" t="n">
        <v>7</v>
      </c>
      <c r="E10" s="15" t="n"/>
    </row>
    <row r="11">
      <c r="A11" s="3" t="inlineStr">
        <is>
          <t>Gross IRR (true, multi-flow)</t>
        </is>
      </c>
      <c r="B11" s="29">
        <f>IRR(B14:I14)</f>
        <v/>
      </c>
      <c r="C11" s="29">
        <f>IRR(B15:I15)</f>
        <v/>
      </c>
      <c r="D11" s="29">
        <f>IRR(B16:I16)</f>
        <v/>
      </c>
      <c r="E11" s="15" t="n"/>
    </row>
    <row r="12">
      <c r="A12" s="10" t="inlineStr">
        <is>
          <t>Cash-flow timeline (INR cr) — for true IRR</t>
        </is>
      </c>
    </row>
    <row r="13">
      <c r="A13" s="3" t="inlineStr">
        <is>
          <t>Year</t>
        </is>
      </c>
      <c r="B13" s="2" t="n">
        <v>2021</v>
      </c>
      <c r="C13" s="2" t="n">
        <v>2022</v>
      </c>
      <c r="D13" s="2" t="n">
        <v>2023</v>
      </c>
      <c r="E13" s="2" t="n">
        <v>2024</v>
      </c>
      <c r="F13" s="2" t="n">
        <v>2025</v>
      </c>
      <c r="G13" s="2" t="n">
        <v>2026</v>
      </c>
      <c r="H13" s="2" t="n">
        <v>2027</v>
      </c>
      <c r="I13" s="2" t="n">
        <v>2028</v>
      </c>
    </row>
    <row r="14">
      <c r="A14" s="30" t="inlineStr">
        <is>
          <t>Bear CF</t>
        </is>
      </c>
      <c r="B14" s="22">
        <f>-B4</f>
        <v/>
      </c>
      <c r="C14" s="14" t="n">
        <v>0</v>
      </c>
      <c r="D14" s="14" t="n">
        <v>0</v>
      </c>
      <c r="E14" s="14" t="n">
        <v>0</v>
      </c>
      <c r="F14" s="22">
        <f>B5</f>
        <v/>
      </c>
      <c r="G14" s="14" t="n">
        <v>0</v>
      </c>
      <c r="H14" s="14" t="n">
        <v>0</v>
      </c>
      <c r="I14" s="22">
        <f>B7</f>
        <v/>
      </c>
    </row>
    <row r="15">
      <c r="A15" s="30" t="inlineStr">
        <is>
          <t>Base CF</t>
        </is>
      </c>
      <c r="B15" s="22">
        <f>-C4</f>
        <v/>
      </c>
      <c r="C15" s="14" t="n">
        <v>0</v>
      </c>
      <c r="D15" s="14" t="n">
        <v>0</v>
      </c>
      <c r="E15" s="14" t="n">
        <v>0</v>
      </c>
      <c r="F15" s="22">
        <f>C5</f>
        <v/>
      </c>
      <c r="G15" s="14" t="n">
        <v>0</v>
      </c>
      <c r="H15" s="14" t="n">
        <v>0</v>
      </c>
      <c r="I15" s="22">
        <f>C7</f>
        <v/>
      </c>
    </row>
    <row r="16">
      <c r="A16" s="30" t="inlineStr">
        <is>
          <t>Bull CF</t>
        </is>
      </c>
      <c r="B16" s="22">
        <f>-D4</f>
        <v/>
      </c>
      <c r="C16" s="14" t="n">
        <v>0</v>
      </c>
      <c r="D16" s="14" t="n">
        <v>0</v>
      </c>
      <c r="E16" s="14" t="n">
        <v>0</v>
      </c>
      <c r="F16" s="22">
        <f>D5</f>
        <v/>
      </c>
      <c r="G16" s="14" t="n">
        <v>0</v>
      </c>
      <c r="H16" s="14" t="n">
        <v>0</v>
      </c>
      <c r="I16" s="22">
        <f>D7</f>
        <v/>
      </c>
    </row>
    <row r="18">
      <c r="A18" s="24" t="inlineStr">
        <is>
          <t>True IRR uses the full cash-flow series: 2021 entry equity outflow, 2025 IPO OFS proceeds (INR 8,750 cr), 2028 residual-stake realisation.</t>
        </is>
      </c>
    </row>
    <row r="19"/>
  </sheetData>
  <mergeCells count="3">
    <mergeCell ref="A12:H12"/>
    <mergeCell ref="A1:F1"/>
    <mergeCell ref="A18:I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 ht="24" customHeight="1">
      <c r="A1" s="1" t="inlineStr">
        <is>
          <t>SIEMENS LTD (INDIA) — 5-YEAR FINANCIALS (FY Oct-Sep; FY20-24 incl. Energy)</t>
        </is>
      </c>
    </row>
    <row r="3">
      <c r="A3" s="2" t="inlineStr">
        <is>
          <t>Metric (INR cr)</t>
        </is>
      </c>
      <c r="B3" s="2" t="inlineStr">
        <is>
          <t>FY20</t>
        </is>
      </c>
      <c r="C3" s="2" t="inlineStr">
        <is>
          <t>FY21</t>
        </is>
      </c>
      <c r="D3" s="2" t="inlineStr">
        <is>
          <t>FY22</t>
        </is>
      </c>
      <c r="E3" s="2" t="inlineStr">
        <is>
          <t>FY23</t>
        </is>
      </c>
      <c r="F3" s="2" t="inlineStr">
        <is>
          <t>FY24</t>
        </is>
      </c>
      <c r="G3" s="2" t="inlineStr">
        <is>
          <t>CAGR</t>
        </is>
      </c>
    </row>
    <row r="4">
      <c r="A4" s="3" t="inlineStr">
        <is>
          <t>Revenue (INR cr)</t>
        </is>
      </c>
      <c r="B4" s="31" t="n">
        <v>9824</v>
      </c>
      <c r="C4" s="31" t="n">
        <v>13136</v>
      </c>
      <c r="D4" s="31" t="n">
        <v>16047</v>
      </c>
      <c r="E4" s="31" t="n">
        <v>19472</v>
      </c>
      <c r="F4" s="31" t="n">
        <v>22157</v>
      </c>
      <c r="G4" s="20">
        <f>(F4/B4)^(1/4)-1</f>
        <v/>
      </c>
    </row>
    <row r="5">
      <c r="A5" s="3" t="inlineStr">
        <is>
          <t>Revenue growth %</t>
        </is>
      </c>
      <c r="B5" s="15" t="inlineStr">
        <is>
          <t>n/a</t>
        </is>
      </c>
      <c r="C5" s="20">
        <f>C4/B4-1</f>
        <v/>
      </c>
      <c r="D5" s="20">
        <f>D4/C4-1</f>
        <v/>
      </c>
      <c r="E5" s="20">
        <f>E4/D4-1</f>
        <v/>
      </c>
      <c r="F5" s="20">
        <f>F4/E4-1</f>
        <v/>
      </c>
      <c r="G5" s="15" t="n"/>
    </row>
    <row r="6">
      <c r="A6" s="3" t="inlineStr">
        <is>
          <t>PAT (INR cr)</t>
        </is>
      </c>
      <c r="B6" s="15" t="inlineStr">
        <is>
          <t>—</t>
        </is>
      </c>
      <c r="C6" s="15" t="inlineStr">
        <is>
          <t>—</t>
        </is>
      </c>
      <c r="D6" s="15" t="inlineStr">
        <is>
          <t>—</t>
        </is>
      </c>
      <c r="E6" s="15" t="inlineStr">
        <is>
          <t>—</t>
        </is>
      </c>
      <c r="F6" s="31" t="n">
        <v>2718</v>
      </c>
      <c r="G6" s="15" t="n"/>
    </row>
    <row r="8">
      <c r="A8" s="10" t="inlineStr">
        <is>
          <t>Continuing operations (ex-Energy), recent quarters</t>
        </is>
      </c>
    </row>
    <row r="9">
      <c r="A9" s="2" t="inlineStr">
        <is>
          <t>Period</t>
        </is>
      </c>
      <c r="B9" s="2" t="inlineStr">
        <is>
          <t>Revenue (INR cr)</t>
        </is>
      </c>
      <c r="C9" s="2" t="inlineStr">
        <is>
          <t>Growth %</t>
        </is>
      </c>
      <c r="D9" s="2" t="inlineStr">
        <is>
          <t>PAT (INR cr)</t>
        </is>
      </c>
    </row>
    <row r="10">
      <c r="A10" s="3" t="inlineStr">
        <is>
          <t>Q4 FY25 (Sep-25)</t>
        </is>
      </c>
      <c r="B10" s="31" t="n">
        <v>5171</v>
      </c>
      <c r="C10" s="21" t="n">
        <v>0.16</v>
      </c>
      <c r="D10" s="31" t="n">
        <v>485</v>
      </c>
    </row>
    <row r="11">
      <c r="A11" s="3" t="inlineStr">
        <is>
          <t>Q1 FY26 (Dec-25)</t>
        </is>
      </c>
      <c r="B11" s="31" t="n">
        <v>3831</v>
      </c>
      <c r="C11" s="21" t="n">
        <v>0.14</v>
      </c>
      <c r="D11" s="31" t="n">
        <v>269</v>
      </c>
    </row>
    <row r="12">
      <c r="A12" s="3" t="inlineStr">
        <is>
          <t>Q2 FY26 (Mar-26)</t>
        </is>
      </c>
      <c r="B12" s="13" t="inlineStr">
        <is>
          <t>n/d</t>
        </is>
      </c>
      <c r="C12" s="21" t="n">
        <v>0.146</v>
      </c>
      <c r="D12" s="31" t="n">
        <v>355</v>
      </c>
    </row>
    <row r="14">
      <c r="A14" s="24" t="inlineStr">
        <is>
          <t>Sources: WSJ (FY20-24 revenue); Quartr (FY24 PAT ~2,718 cr); Siemens IR press releases (continuing ops quarters).</t>
        </is>
      </c>
    </row>
    <row r="15"/>
  </sheetData>
  <mergeCells count="3">
    <mergeCell ref="A8:G8"/>
    <mergeCell ref="A14:G15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4" customHeight="1">
      <c r="A1" s="1" t="inlineStr">
        <is>
          <t>SIEMENS INDIA — EXIT VALUATION &amp; HYPOTHETICAL RETURNS (formula-linked)</t>
        </is>
      </c>
    </row>
    <row r="3">
      <c r="A3" s="2" t="inlineStr">
        <is>
          <t>Input</t>
        </is>
      </c>
      <c r="B3" s="2" t="inlineStr">
        <is>
          <t>Bear</t>
        </is>
      </c>
      <c r="C3" s="2" t="inlineStr">
        <is>
          <t>Base</t>
        </is>
      </c>
      <c r="D3" s="2" t="inlineStr">
        <is>
          <t>Bull</t>
        </is>
      </c>
      <c r="E3" s="2" t="inlineStr">
        <is>
          <t>Note</t>
        </is>
      </c>
    </row>
    <row r="4">
      <c r="A4" s="3" t="inlineStr">
        <is>
          <t>Exit-year PAT (grown, INR cr)</t>
        </is>
      </c>
      <c r="B4" s="31" t="n">
        <v>3000</v>
      </c>
      <c r="C4" s="31" t="n">
        <v>3700</v>
      </c>
      <c r="D4" s="31" t="n">
        <v>4400</v>
      </c>
      <c r="E4" s="15" t="inlineStr">
        <is>
          <t>Current ~normalized PAT grown ~12-15%/yr over hold</t>
        </is>
      </c>
    </row>
    <row r="5">
      <c r="A5" s="3" t="inlineStr">
        <is>
          <t>Exit P/E multiple (x)</t>
        </is>
      </c>
      <c r="B5" s="32" t="n">
        <v>32</v>
      </c>
      <c r="C5" s="32" t="n">
        <v>45</v>
      </c>
      <c r="D5" s="32" t="n">
        <v>52</v>
      </c>
      <c r="E5" s="15" t="inlineStr">
        <is>
          <t>Premium capital-goods comps (ABB/Hitachi)</t>
        </is>
      </c>
    </row>
    <row r="6">
      <c r="A6" s="3" t="inlineStr">
        <is>
          <t>Equity Value (INR cr)</t>
        </is>
      </c>
      <c r="B6" s="26">
        <f>B4*B5</f>
        <v/>
      </c>
      <c r="C6" s="26">
        <f>C4*C5</f>
        <v/>
      </c>
      <c r="D6" s="26">
        <f>D4*D5</f>
        <v/>
      </c>
      <c r="E6" s="15" t="n"/>
    </row>
    <row r="7">
      <c r="A7" s="3" t="inlineStr">
        <is>
          <t>Equity Value (US$ bn)</t>
        </is>
      </c>
      <c r="B7" s="27">
        <f>B6/Assumptions!$B$4/100</f>
        <v/>
      </c>
      <c r="C7" s="27">
        <f>C6/Assumptions!$B$4/100</f>
        <v/>
      </c>
      <c r="D7" s="27">
        <f>D6/Assumptions!$B$4/100</f>
        <v/>
      </c>
      <c r="E7" s="15" t="n"/>
    </row>
    <row r="9">
      <c r="A9" s="3" t="inlineStr">
        <is>
          <t>Hypothetical entry mcap (INR cr)</t>
        </is>
      </c>
      <c r="B9" s="22">
        <f>Assumptions!$B$19</f>
        <v/>
      </c>
      <c r="C9" s="22">
        <f>Assumptions!$B$19</f>
        <v/>
      </c>
      <c r="D9" s="22">
        <f>Assumptions!$B$19</f>
        <v/>
      </c>
    </row>
    <row r="10">
      <c r="A10" s="3" t="inlineStr">
        <is>
          <t>MOIC (x)</t>
        </is>
      </c>
      <c r="B10" s="28">
        <f>B6/B9</f>
        <v/>
      </c>
      <c r="C10" s="28">
        <f>C6/C9</f>
        <v/>
      </c>
      <c r="D10" s="28">
        <f>D6/D9</f>
        <v/>
      </c>
    </row>
    <row r="11">
      <c r="A11" s="3" t="inlineStr">
        <is>
          <t>Hold (years)</t>
        </is>
      </c>
      <c r="B11" s="14">
        <f>Assumptions!$B$20</f>
        <v/>
      </c>
      <c r="C11" s="14">
        <f>Assumptions!$B$20</f>
        <v/>
      </c>
      <c r="D11" s="14">
        <f>Assumptions!$B$20</f>
        <v/>
      </c>
    </row>
    <row r="12">
      <c r="A12" s="3" t="inlineStr">
        <is>
          <t>Gross IRR (approx.)</t>
        </is>
      </c>
      <c r="B12" s="29">
        <f>(B10)^(1/B11)-1</f>
        <v/>
      </c>
      <c r="C12" s="29">
        <f>(C10)^(1/C11)-1</f>
        <v/>
      </c>
      <c r="D12" s="29">
        <f>(D10)^(1/D11)-1</f>
        <v/>
      </c>
    </row>
    <row r="14">
      <c r="A14" s="24" t="inlineStr">
        <is>
          <t>Note: No realistic PE control entry exists (Siemens AG ~69%). Returns illustrative on hypothetical entry at today's mcap. Already richly valued.</t>
        </is>
      </c>
    </row>
    <row r="15"/>
  </sheetData>
  <mergeCells count="2">
    <mergeCell ref="A14:E15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2026-06-18T12:53:07Z</dcterms:created>
  <dcterms:modified xmlns:dcterms="http://purl.org/dc/terms/" xmlns:xsi="http://www.w3.org/2001/XMLSchema-instance" xsi:type="dcterms:W3CDTF">2026-06-18T12:53:07Z</dcterms:modified>
</cp:coreProperties>
</file>