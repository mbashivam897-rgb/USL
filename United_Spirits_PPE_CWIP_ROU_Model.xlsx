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Notes" sheetId="1" state="visible" r:id="rId1"/>
    <sheet name="Assumptions" sheetId="2" state="visible" r:id="rId2"/>
    <sheet name="PPE Schedule" sheetId="3" state="visible" r:id="rId3"/>
    <sheet name="CWIP Schedule" sheetId="4" state="visible" r:id="rId4"/>
    <sheet name="ROU Schedule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2F5496"/>
      <sz val="11"/>
    </font>
    <font>
      <i val="1"/>
      <color rgb="00595959"/>
      <sz val="10"/>
    </font>
    <font>
      <b val="1"/>
      <color rgb="001F3864"/>
      <sz val="10"/>
    </font>
    <font>
      <color rgb="0000000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horizontal="center"/>
    </xf>
    <xf numFmtId="0" fontId="8" fillId="0" borderId="0" applyAlignment="1" pivotButton="0" quotePrefix="0" xfId="0">
      <alignment indent="1"/>
    </xf>
    <xf numFmtId="0" fontId="0" fillId="5" borderId="0" pivotButton="0" quotePrefix="0" xfId="0"/>
    <xf numFmtId="164" fontId="10" fillId="5" borderId="0" applyAlignment="1" pivotButton="0" quotePrefix="0" xfId="0">
      <alignment horizontal="right"/>
    </xf>
    <xf numFmtId="164" fontId="9" fillId="6" borderId="0" applyAlignment="1" pivotButton="0" quotePrefix="0" xfId="0">
      <alignment horizontal="right"/>
    </xf>
    <xf numFmtId="0" fontId="9" fillId="0" borderId="0" applyAlignment="1" pivotButton="0" quotePrefix="0" xfId="0">
      <alignment indent="1"/>
    </xf>
    <xf numFmtId="165" fontId="10" fillId="6" borderId="0" applyAlignment="1" pivotButton="0" quotePrefix="0" xfId="0">
      <alignment horizontal="right"/>
    </xf>
    <xf numFmtId="165" fontId="9" fillId="5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6" fillId="3" borderId="0" pivotButton="0" quotePrefix="0" xfId="0"/>
    <xf numFmtId="0" fontId="11" fillId="7" borderId="0" applyAlignment="1" pivotButton="0" quotePrefix="0" xfId="0">
      <alignment indent="1"/>
    </xf>
    <xf numFmtId="0" fontId="0" fillId="7" borderId="0" pivotButton="0" quotePrefix="0" xfId="0"/>
    <xf numFmtId="164" fontId="9" fillId="5" borderId="0" applyAlignment="1" pivotButton="0" quotePrefix="0" xfId="0">
      <alignment horizontal="right"/>
    </xf>
    <xf numFmtId="164" fontId="10" fillId="6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164" fontId="8" fillId="8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UNITED SPIRITS LIMITED (Diageo India)</t>
        </is>
      </c>
    </row>
    <row r="3">
      <c r="B3" s="2" t="inlineStr">
        <is>
          <t>Fixed Asset Schedules - Property, Plant &amp; Equipment (PPE), Capital Work-in-Progress (CWIP) &amp; Right-of-Use (ROU) assets</t>
        </is>
      </c>
    </row>
    <row r="4">
      <c r="B4" s="3" t="inlineStr">
        <is>
          <t>Standalone basis  |  All figures in Rs crore  |  Financial year ending 31 March</t>
        </is>
      </c>
    </row>
    <row r="6">
      <c r="B6" t="inlineStr"/>
    </row>
    <row r="7">
      <c r="B7" s="4" t="inlineStr">
        <is>
          <t>SCOPE</t>
        </is>
      </c>
    </row>
    <row r="8">
      <c r="B8" s="5" t="inlineStr">
        <is>
          <t>Historical actuals: FY2022 to FY2026 (5 years).  Forecast: FY2027E to FY2030E (4 years).</t>
        </is>
      </c>
    </row>
    <row r="9">
      <c r="B9" s="5" t="inlineStr">
        <is>
          <t>Three schedules are built as roll-forwards and linked: cash capex flows into CWIP, is capitalised into</t>
        </is>
      </c>
    </row>
    <row r="10">
      <c r="B10" s="5" t="inlineStr">
        <is>
          <t>PPE, and is depreciated; ROU assets follow a separate lease roll-forward under Ind AS 116.</t>
        </is>
      </c>
    </row>
    <row r="11">
      <c r="B11" t="inlineStr"/>
    </row>
    <row r="12">
      <c r="B12" s="4" t="inlineStr">
        <is>
          <t>HOW TO USE</t>
        </is>
      </c>
    </row>
    <row r="13">
      <c r="B13" s="5" t="inlineStr">
        <is>
          <t>Blue figures = inputs / reported hardcodes you can change.  Black figures = formulas.</t>
        </is>
      </c>
    </row>
    <row r="14">
      <c r="B14" s="5" t="inlineStr">
        <is>
          <t>Historical columns are shaded blue; forecast columns are shaded green.</t>
        </is>
      </c>
    </row>
    <row r="15">
      <c r="B15" s="5" t="inlineStr">
        <is>
          <t>All forecast drivers live on the 'Assumptions' tab - change them to flex the model.</t>
        </is>
      </c>
    </row>
    <row r="16">
      <c r="B16" t="inlineStr"/>
    </row>
    <row r="17">
      <c r="B17" s="4" t="inlineStr">
        <is>
          <t>DATA SOURCES (primary)</t>
        </is>
      </c>
    </row>
    <row r="18">
      <c r="B18" s="5" t="inlineStr">
        <is>
          <t>- USL Integrated Annual Report FY2024-25 (Notes 3.1 PPE, 3.2 ROU, 3.3 CWIP) - FY24 &amp; FY25</t>
        </is>
      </c>
    </row>
    <row r="19">
      <c r="B19" s="5" t="inlineStr">
        <is>
          <t>- USL Annual Report FY2023-24 (Notes 3.1/3.2/3.3) - FY23 &amp; FY24</t>
        </is>
      </c>
    </row>
    <row r="20">
      <c r="B20" s="5" t="inlineStr">
        <is>
          <t>- USL Annual Report FY2021-22 (reported in INR millions; converted /10) - FY22</t>
        </is>
      </c>
    </row>
    <row r="21">
      <c r="B21" s="5" t="inlineStr">
        <is>
          <t>- USL Audited financial results for year ended 31 March 2026 - FY26 balance sheet, cash flow</t>
        </is>
      </c>
    </row>
    <row r="22">
      <c r="B22" s="5" t="inlineStr">
        <is>
          <t>- Cross-checked vs screener.in 'Fixed Assets' = PPE + ROU + Intangibles + Investment property</t>
        </is>
      </c>
    </row>
    <row r="23">
      <c r="B23" t="inlineStr"/>
    </row>
    <row r="24">
      <c r="B24" s="4" t="inlineStr">
        <is>
          <t>KEY NOTES &amp; CAVEATS</t>
        </is>
      </c>
    </row>
    <row r="25">
      <c r="B25" s="5" t="inlineStr">
        <is>
          <t>1) FY2022 is shown on a RESTATED basis (post the Pioneer Distilleries merger) so that it ties to the</t>
        </is>
      </c>
    </row>
    <row r="26">
      <c r="B26" s="5" t="inlineStr">
        <is>
          <t xml:space="preserve">   FY2023 opening balances. As originally reported (pre-merger) FY22 net PPE was ~Rs 1,016 cr.</t>
        </is>
      </c>
    </row>
    <row r="27">
      <c r="B27" s="5" t="inlineStr">
        <is>
          <t>2) FY2026 detailed PPE/ROU notes are not yet published (annual report pending). FY26 closing</t>
        </is>
      </c>
    </row>
    <row r="28">
      <c r="B28" s="5" t="inlineStr">
        <is>
          <t xml:space="preserve">   balances, total D&amp;A (Rs 283 cr) and cash capex (Rs 181 cr) are taken from the audited results;</t>
        </is>
      </c>
    </row>
    <row r="29">
      <c r="B29" s="5" t="inlineStr">
        <is>
          <t xml:space="preserve">   the split of FY26 depreciation / additions between PPE &amp; ROU is estimated (flagged in-sheet).</t>
        </is>
      </c>
    </row>
    <row r="30">
      <c r="B30" s="5" t="inlineStr">
        <is>
          <t>3) The PPE schedule is run on a NET-block roll-forward; a memo shows reported gross block &amp;</t>
        </is>
      </c>
    </row>
    <row r="31">
      <c r="B31" s="5" t="inlineStr">
        <is>
          <t xml:space="preserve">   accumulated depreciation for FY22r-FY25 as a check.</t>
        </is>
      </c>
    </row>
    <row r="32">
      <c r="B32" s="5" t="inlineStr">
        <is>
          <t>4) Schedules exclude Intangible assets and Investment property (these are separate line items).</t>
        </is>
      </c>
    </row>
    <row r="33">
      <c r="B33" s="5" t="inlineStr">
        <is>
          <t>5) This is an analytical model for illustration, not investment advice.</t>
        </is>
      </c>
    </row>
    <row r="34">
      <c r="B34" t="inlineStr"/>
    </row>
    <row r="35">
      <c r="B35" s="4" t="inlineStr">
        <is>
          <t>TABS</t>
        </is>
      </c>
    </row>
    <row r="36">
      <c r="B36" s="5" t="inlineStr">
        <is>
          <t>Assumptions  |  PPE Schedule  |  CWIP Schedule  |  ROU Schedule  |  Summary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6" t="inlineStr">
        <is>
          <t>ASSUMPTIONS &amp; FORECAST DRIVERS  (edit the blue cells)</t>
        </is>
      </c>
    </row>
    <row r="3">
      <c r="A3" s="7" t="inlineStr">
        <is>
          <t>(Rs crore unless stated)</t>
        </is>
      </c>
      <c r="B3" s="8" t="n"/>
      <c r="C3" s="9" t="inlineStr">
        <is>
          <t>FY2022</t>
        </is>
      </c>
      <c r="D3" s="9" t="inlineStr">
        <is>
          <t>FY2023</t>
        </is>
      </c>
      <c r="E3" s="9" t="inlineStr">
        <is>
          <t>FY2024</t>
        </is>
      </c>
      <c r="F3" s="9" t="inlineStr">
        <is>
          <t>FY2025</t>
        </is>
      </c>
      <c r="G3" s="9" t="inlineStr">
        <is>
          <t>FY2026</t>
        </is>
      </c>
      <c r="H3" s="9" t="inlineStr">
        <is>
          <t>FY2027E</t>
        </is>
      </c>
      <c r="I3" s="9" t="inlineStr">
        <is>
          <t>FY2028E</t>
        </is>
      </c>
      <c r="J3" s="9" t="inlineStr">
        <is>
          <t>FY2029E</t>
        </is>
      </c>
      <c r="K3" s="9" t="inlineStr">
        <is>
          <t>FY2030E</t>
        </is>
      </c>
    </row>
    <row r="4">
      <c r="A4" s="10" t="inlineStr">
        <is>
          <t>Net sales value (NSV) - forecast driver base</t>
        </is>
      </c>
      <c r="C4" s="11" t="n"/>
      <c r="D4" s="11" t="n"/>
      <c r="E4" s="11" t="n"/>
      <c r="F4" s="11" t="n"/>
      <c r="G4" s="12" t="n">
        <v>12467</v>
      </c>
      <c r="H4" s="13">
        <f>G4*(1+H5)</f>
        <v/>
      </c>
      <c r="I4" s="13">
        <f>H4*(1+I5)</f>
        <v/>
      </c>
      <c r="J4" s="13">
        <f>I4*(1+J5)</f>
        <v/>
      </c>
      <c r="K4" s="13">
        <f>J4*(1+K5)</f>
        <v/>
      </c>
    </row>
    <row r="5">
      <c r="A5" s="14" t="inlineStr">
        <is>
          <t xml:space="preserve">  NSV growth (YoY)</t>
        </is>
      </c>
      <c r="C5" s="11" t="n"/>
      <c r="D5" s="11" t="n"/>
      <c r="E5" s="11" t="n"/>
      <c r="F5" s="11" t="n"/>
      <c r="G5" s="11" t="n"/>
      <c r="H5" s="15" t="n">
        <v>0.09</v>
      </c>
      <c r="I5" s="15" t="n">
        <v>0.09</v>
      </c>
      <c r="J5" s="15" t="n">
        <v>0.09</v>
      </c>
      <c r="K5" s="15" t="n">
        <v>0.09</v>
      </c>
    </row>
    <row r="6">
      <c r="A6" s="14" t="inlineStr">
        <is>
          <t xml:space="preserve">  Cash capex as % of NSV</t>
        </is>
      </c>
      <c r="C6" s="11" t="n"/>
      <c r="D6" s="11" t="n"/>
      <c r="E6" s="11" t="n"/>
      <c r="F6" s="11" t="n"/>
      <c r="G6" s="16">
        <f>181/G4</f>
        <v/>
      </c>
      <c r="H6" s="15" t="n">
        <v>0.015</v>
      </c>
      <c r="I6" s="15" t="n">
        <v>0.015</v>
      </c>
      <c r="J6" s="15" t="n">
        <v>0.015</v>
      </c>
      <c r="K6" s="15" t="n">
        <v>0.015</v>
      </c>
    </row>
    <row r="7">
      <c r="A7" s="14" t="inlineStr">
        <is>
          <t xml:space="preserve">  PPE depreciation as % of opening net block</t>
        </is>
      </c>
      <c r="C7" s="11" t="n"/>
      <c r="D7" s="11" t="n"/>
      <c r="E7" s="11" t="n"/>
      <c r="F7" s="11" t="n"/>
      <c r="G7" s="11" t="n"/>
      <c r="H7" s="15" t="n">
        <v>0.13</v>
      </c>
      <c r="I7" s="15" t="n">
        <v>0.13</v>
      </c>
      <c r="J7" s="15" t="n">
        <v>0.13</v>
      </c>
      <c r="K7" s="15" t="n">
        <v>0.13</v>
      </c>
    </row>
    <row r="8">
      <c r="A8" s="14" t="inlineStr">
        <is>
          <t xml:space="preserve">  ROU additions as % of NSV</t>
        </is>
      </c>
      <c r="C8" s="11" t="n"/>
      <c r="D8" s="11" t="n"/>
      <c r="E8" s="11" t="n"/>
      <c r="F8" s="11" t="n"/>
      <c r="G8" s="11" t="n"/>
      <c r="H8" s="15" t="n">
        <v>0.013</v>
      </c>
      <c r="I8" s="15" t="n">
        <v>0.013</v>
      </c>
      <c r="J8" s="15" t="n">
        <v>0.013</v>
      </c>
      <c r="K8" s="15" t="n">
        <v>0.013</v>
      </c>
    </row>
    <row r="9">
      <c r="A9" s="14" t="inlineStr">
        <is>
          <t xml:space="preserve">  ROU amortisation as % of (opening + 1/2 additions)</t>
        </is>
      </c>
      <c r="C9" s="11" t="n"/>
      <c r="D9" s="11" t="n"/>
      <c r="E9" s="11" t="n"/>
      <c r="F9" s="11" t="n"/>
      <c r="G9" s="11" t="n"/>
      <c r="H9" s="15" t="n">
        <v>0.3</v>
      </c>
      <c r="I9" s="15" t="n">
        <v>0.3</v>
      </c>
      <c r="J9" s="15" t="n">
        <v>0.3</v>
      </c>
      <c r="K9" s="15" t="n">
        <v>0.3</v>
      </c>
    </row>
    <row r="12">
      <c r="A12" s="17" t="inlineStr">
        <is>
          <t>Notes:</t>
        </is>
      </c>
    </row>
    <row r="13">
      <c r="A13" s="18" t="inlineStr">
        <is>
          <t>- NSV FY2026 base (Rs 12,467 cr) is USL's reported FY26 net sales value; grown by the YoY% to drive forecast capex &amp; lease additions.</t>
        </is>
      </c>
    </row>
    <row r="14">
      <c r="A14" s="18" t="inlineStr">
        <is>
          <t>- Cash capex (% of NSV) feeds CWIP additions; CWIP is capitalised into PPE the same year (CWIP held ~flat).</t>
        </is>
      </c>
    </row>
    <row r="15">
      <c r="A15" s="18" t="inlineStr">
        <is>
          <t>- PPE depreciation % of opening net block is calibrated to FY2024-FY2026 actuals (~12-13%).</t>
        </is>
      </c>
    </row>
    <row r="16">
      <c r="A16" s="18" t="inlineStr">
        <is>
          <t>- ROU additions (% of NSV) and amortisation (% of opening + half additions) reflect short-life plant/equipment leases.</t>
        </is>
      </c>
    </row>
    <row r="17">
      <c r="A17" s="18" t="inlineStr">
        <is>
          <t>- All blue cells are editable inputs; change any driver and the schedules + Summary update automatically.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9" t="inlineStr">
        <is>
          <t>PROPERTY, PLANT &amp; EQUIPMENT (PPE) SCHEDULE  -  Standalone (Rs crore)</t>
        </is>
      </c>
    </row>
    <row r="3">
      <c r="A3" s="7" t="inlineStr">
        <is>
          <t>(Rs crore)</t>
        </is>
      </c>
      <c r="B3" s="8" t="n"/>
      <c r="C3" s="9" t="inlineStr">
        <is>
          <t>FY2022</t>
        </is>
      </c>
      <c r="D3" s="9" t="inlineStr">
        <is>
          <t>FY2023</t>
        </is>
      </c>
      <c r="E3" s="9" t="inlineStr">
        <is>
          <t>FY2024</t>
        </is>
      </c>
      <c r="F3" s="9" t="inlineStr">
        <is>
          <t>FY2025</t>
        </is>
      </c>
      <c r="G3" s="9" t="inlineStr">
        <is>
          <t>FY2026</t>
        </is>
      </c>
      <c r="H3" s="9" t="inlineStr">
        <is>
          <t>FY2027E</t>
        </is>
      </c>
      <c r="I3" s="9" t="inlineStr">
        <is>
          <t>FY2028E</t>
        </is>
      </c>
      <c r="J3" s="9" t="inlineStr">
        <is>
          <t>FY2029E</t>
        </is>
      </c>
      <c r="K3" s="9" t="inlineStr">
        <is>
          <t>FY2030E</t>
        </is>
      </c>
    </row>
    <row r="4">
      <c r="A4" s="20" t="inlineStr">
        <is>
          <t>Net block roll-forward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</row>
    <row r="5">
      <c r="A5" s="14" t="inlineStr">
        <is>
          <t>Opening net block</t>
        </is>
      </c>
      <c r="C5" s="11" t="n"/>
      <c r="D5" s="22">
        <f>C10</f>
        <v/>
      </c>
      <c r="E5" s="22">
        <f>D10</f>
        <v/>
      </c>
      <c r="F5" s="22">
        <f>E10</f>
        <v/>
      </c>
      <c r="G5" s="22">
        <f>F10</f>
        <v/>
      </c>
      <c r="H5" s="13">
        <f>G10</f>
        <v/>
      </c>
      <c r="I5" s="13">
        <f>H10</f>
        <v/>
      </c>
      <c r="J5" s="13">
        <f>I10</f>
        <v/>
      </c>
      <c r="K5" s="13">
        <f>J10</f>
        <v/>
      </c>
    </row>
    <row r="6">
      <c r="A6" s="14" t="inlineStr">
        <is>
          <t xml:space="preserve">  (+) Additions (capitalised from CWIP)</t>
        </is>
      </c>
      <c r="C6" s="11" t="n"/>
      <c r="D6" s="22" t="n">
        <v>135</v>
      </c>
      <c r="E6" s="22" t="n">
        <v>126</v>
      </c>
      <c r="F6" s="22" t="n">
        <v>126</v>
      </c>
      <c r="G6" s="12" t="n">
        <v>179</v>
      </c>
      <c r="H6" s="13">
        <f>'CWIP Schedule'!H7</f>
        <v/>
      </c>
      <c r="I6" s="13">
        <f>'CWIP Schedule'!I7</f>
        <v/>
      </c>
      <c r="J6" s="13">
        <f>'CWIP Schedule'!J7</f>
        <v/>
      </c>
      <c r="K6" s="13">
        <f>'CWIP Schedule'!K7</f>
        <v/>
      </c>
    </row>
    <row r="7">
      <c r="A7" s="14" t="inlineStr">
        <is>
          <t xml:space="preserve">  (-) Depreciation</t>
        </is>
      </c>
      <c r="C7" s="11" t="n"/>
      <c r="D7" s="22" t="n">
        <v>129</v>
      </c>
      <c r="E7" s="22" t="n">
        <v>121</v>
      </c>
      <c r="F7" s="22" t="n">
        <v>113</v>
      </c>
      <c r="G7" s="12" t="n">
        <v>112</v>
      </c>
      <c r="H7" s="13">
        <f>Assumptions!H7*H5</f>
        <v/>
      </c>
      <c r="I7" s="13">
        <f>Assumptions!I7*I5</f>
        <v/>
      </c>
      <c r="J7" s="13">
        <f>Assumptions!J7*J5</f>
        <v/>
      </c>
      <c r="K7" s="13">
        <f>Assumptions!K7*K5</f>
        <v/>
      </c>
    </row>
    <row r="8">
      <c r="A8" s="14" t="inlineStr">
        <is>
          <t xml:space="preserve">  (-) Impairment</t>
        </is>
      </c>
      <c r="C8" s="11" t="n"/>
      <c r="D8" s="22" t="n">
        <v>109</v>
      </c>
      <c r="E8" s="22" t="n">
        <v>20</v>
      </c>
      <c r="F8" s="22" t="n">
        <v>0</v>
      </c>
      <c r="G8" s="22" t="n">
        <v>0</v>
      </c>
      <c r="H8" s="23" t="n">
        <v>0</v>
      </c>
      <c r="I8" s="23" t="n">
        <v>0</v>
      </c>
      <c r="J8" s="23" t="n">
        <v>0</v>
      </c>
      <c r="K8" s="23" t="n">
        <v>0</v>
      </c>
    </row>
    <row r="9">
      <c r="A9" s="14" t="inlineStr">
        <is>
          <t xml:space="preserve">  (-) Disposals, transfers &amp; reclassifications (net)</t>
        </is>
      </c>
      <c r="C9" s="11" t="n"/>
      <c r="D9" s="22" t="n">
        <v>120</v>
      </c>
      <c r="E9" s="22" t="n">
        <v>119</v>
      </c>
      <c r="F9" s="22" t="n">
        <v>7</v>
      </c>
      <c r="G9" s="12" t="n">
        <v>86</v>
      </c>
      <c r="H9" s="23" t="n">
        <v>0</v>
      </c>
      <c r="I9" s="23" t="n">
        <v>0</v>
      </c>
      <c r="J9" s="23" t="n">
        <v>0</v>
      </c>
      <c r="K9" s="23" t="n">
        <v>0</v>
      </c>
    </row>
    <row r="10">
      <c r="A10" s="10" t="inlineStr">
        <is>
          <t>Closing net block</t>
        </is>
      </c>
      <c r="C10" s="22" t="n">
        <v>1201</v>
      </c>
      <c r="D10" s="22">
        <f>D5+D6-D7-D8-D9</f>
        <v/>
      </c>
      <c r="E10" s="22">
        <f>E5+E6-E7-E8-E9</f>
        <v/>
      </c>
      <c r="F10" s="22">
        <f>F5+F6-F7-F8-F9</f>
        <v/>
      </c>
      <c r="G10" s="22">
        <f>G5+G6-G7-G8-G9</f>
        <v/>
      </c>
      <c r="H10" s="13">
        <f>H5+H6-H7-H8-H9</f>
        <v/>
      </c>
      <c r="I10" s="13">
        <f>I5+I6-I7-I8-I9</f>
        <v/>
      </c>
      <c r="J10" s="13">
        <f>J5+J6-J7-J8-J9</f>
        <v/>
      </c>
      <c r="K10" s="13">
        <f>K5+K6-K7-K8-K9</f>
        <v/>
      </c>
    </row>
    <row r="12">
      <c r="A12" s="20" t="inlineStr">
        <is>
          <t>Memo: reported gross block &amp; accumulated depreciation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</row>
    <row r="13">
      <c r="A13" s="14" t="inlineStr">
        <is>
          <t>Gross block (closing)</t>
        </is>
      </c>
      <c r="C13" s="24" t="n">
        <v>2202</v>
      </c>
      <c r="D13" s="24" t="n">
        <v>1988</v>
      </c>
      <c r="E13" s="24" t="n">
        <v>1869</v>
      </c>
      <c r="F13" s="24" t="n">
        <v>1915</v>
      </c>
      <c r="G13" s="25" t="inlineStr">
        <is>
          <t>n/a</t>
        </is>
      </c>
    </row>
    <row r="14">
      <c r="A14" s="14" t="inlineStr">
        <is>
          <t>Accumulated depreciation &amp; impairment (closing)</t>
        </is>
      </c>
      <c r="C14" s="24" t="n">
        <v>1001</v>
      </c>
      <c r="D14" s="24" t="n">
        <v>1010</v>
      </c>
      <c r="E14" s="24" t="n">
        <v>1025</v>
      </c>
      <c r="F14" s="24" t="n">
        <v>1065</v>
      </c>
      <c r="G14" s="25" t="inlineStr">
        <is>
          <t>n/a</t>
        </is>
      </c>
    </row>
    <row r="15">
      <c r="A15" s="10" t="inlineStr">
        <is>
          <t>Net block (check = gross - acc. dep.)</t>
        </is>
      </c>
      <c r="C15" s="24">
        <f>C13-C14</f>
        <v/>
      </c>
      <c r="D15" s="24">
        <f>D13-D14</f>
        <v/>
      </c>
      <c r="E15" s="24">
        <f>E13-E14</f>
        <v/>
      </c>
      <c r="F15" s="24">
        <f>F13-F14</f>
        <v/>
      </c>
    </row>
    <row r="17">
      <c r="A17" s="20" t="inlineStr">
        <is>
          <t>Checks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s="14" t="inlineStr">
        <is>
          <t xml:space="preserve">  Implied depreciation % of opening net block</t>
        </is>
      </c>
      <c r="D18" s="26">
        <f>D7/D5</f>
        <v/>
      </c>
      <c r="E18" s="26">
        <f>E7/E5</f>
        <v/>
      </c>
      <c r="F18" s="26">
        <f>F7/F5</f>
        <v/>
      </c>
      <c r="G18" s="26">
        <f>G7/G5</f>
        <v/>
      </c>
      <c r="H18" s="26">
        <f>H7/H5</f>
        <v/>
      </c>
      <c r="I18" s="26">
        <f>I7/I5</f>
        <v/>
      </c>
      <c r="J18" s="26">
        <f>J7/J5</f>
        <v/>
      </c>
      <c r="K18" s="26">
        <f>K7/K5</f>
        <v/>
      </c>
    </row>
    <row r="19">
      <c r="A19" s="14" t="inlineStr">
        <is>
          <t xml:space="preserve">  Net block memo vs roll-forward (should be 0)</t>
        </is>
      </c>
      <c r="C19" s="24">
        <f>C15-C10</f>
        <v/>
      </c>
      <c r="D19" s="24">
        <f>D15-D10</f>
        <v/>
      </c>
      <c r="E19" s="24">
        <f>E15-E10</f>
        <v/>
      </c>
      <c r="F19" s="24">
        <f>F15-F10</f>
        <v/>
      </c>
    </row>
    <row r="20">
      <c r="A20" s="18" t="inlineStr">
        <is>
          <t>FY26 PPE depreciation &amp; disposal/transfer split are estimates (full FY26 notes pending).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9" t="inlineStr">
        <is>
          <t>CAPITAL WORK-IN-PROGRESS (CWIP) SCHEDULE  -  Standalone (Rs crore)</t>
        </is>
      </c>
    </row>
    <row r="3">
      <c r="A3" s="7" t="inlineStr">
        <is>
          <t>(Rs crore)</t>
        </is>
      </c>
      <c r="B3" s="8" t="n"/>
      <c r="C3" s="9" t="inlineStr">
        <is>
          <t>FY2022</t>
        </is>
      </c>
      <c r="D3" s="9" t="inlineStr">
        <is>
          <t>FY2023</t>
        </is>
      </c>
      <c r="E3" s="9" t="inlineStr">
        <is>
          <t>FY2024</t>
        </is>
      </c>
      <c r="F3" s="9" t="inlineStr">
        <is>
          <t>FY2025</t>
        </is>
      </c>
      <c r="G3" s="9" t="inlineStr">
        <is>
          <t>FY2026</t>
        </is>
      </c>
      <c r="H3" s="9" t="inlineStr">
        <is>
          <t>FY2027E</t>
        </is>
      </c>
      <c r="I3" s="9" t="inlineStr">
        <is>
          <t>FY2028E</t>
        </is>
      </c>
      <c r="J3" s="9" t="inlineStr">
        <is>
          <t>FY2029E</t>
        </is>
      </c>
      <c r="K3" s="9" t="inlineStr">
        <is>
          <t>FY2030E</t>
        </is>
      </c>
    </row>
    <row r="4">
      <c r="A4" s="20" t="inlineStr">
        <is>
          <t>CWIP roll-forward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</row>
    <row r="5">
      <c r="A5" s="14" t="inlineStr">
        <is>
          <t>Opening CWIP</t>
        </is>
      </c>
      <c r="C5" s="11" t="n"/>
      <c r="D5" s="22">
        <f>C8</f>
        <v/>
      </c>
      <c r="E5" s="22">
        <f>D8</f>
        <v/>
      </c>
      <c r="F5" s="22">
        <f>E8</f>
        <v/>
      </c>
      <c r="G5" s="22">
        <f>F8</f>
        <v/>
      </c>
      <c r="H5" s="13">
        <f>G8</f>
        <v/>
      </c>
      <c r="I5" s="13">
        <f>H8</f>
        <v/>
      </c>
      <c r="J5" s="13">
        <f>I8</f>
        <v/>
      </c>
      <c r="K5" s="13">
        <f>J8</f>
        <v/>
      </c>
    </row>
    <row r="6">
      <c r="A6" s="14" t="inlineStr">
        <is>
          <t xml:space="preserve">  (+) Additions (capital expenditure incurred)</t>
        </is>
      </c>
      <c r="C6" s="11" t="n"/>
      <c r="D6" s="22" t="n">
        <v>114</v>
      </c>
      <c r="E6" s="22" t="n">
        <v>96</v>
      </c>
      <c r="F6" s="22" t="n">
        <v>161</v>
      </c>
      <c r="G6" s="12" t="n">
        <v>179</v>
      </c>
      <c r="H6" s="13">
        <f>Assumptions!H4*Assumptions!H6</f>
        <v/>
      </c>
      <c r="I6" s="13">
        <f>Assumptions!I4*Assumptions!I6</f>
        <v/>
      </c>
      <c r="J6" s="13">
        <f>Assumptions!J4*Assumptions!J6</f>
        <v/>
      </c>
      <c r="K6" s="13">
        <f>Assumptions!K4*Assumptions!K6</f>
        <v/>
      </c>
    </row>
    <row r="7">
      <c r="A7" s="14" t="inlineStr">
        <is>
          <t xml:space="preserve">  (-) Capitalised to PPE / intangibles</t>
        </is>
      </c>
      <c r="C7" s="11" t="n"/>
      <c r="D7" s="22" t="n">
        <v>135</v>
      </c>
      <c r="E7" s="22" t="n">
        <v>126</v>
      </c>
      <c r="F7" s="22" t="n">
        <v>126</v>
      </c>
      <c r="G7" s="12" t="n">
        <v>181</v>
      </c>
      <c r="H7" s="13">
        <f>H6</f>
        <v/>
      </c>
      <c r="I7" s="13">
        <f>I6</f>
        <v/>
      </c>
      <c r="J7" s="13">
        <f>J6</f>
        <v/>
      </c>
      <c r="K7" s="13">
        <f>K6</f>
        <v/>
      </c>
    </row>
    <row r="8">
      <c r="A8" s="10" t="inlineStr">
        <is>
          <t>Closing CWIP</t>
        </is>
      </c>
      <c r="C8" s="22" t="n">
        <v>88</v>
      </c>
      <c r="D8" s="22">
        <f>D5+D6-D7</f>
        <v/>
      </c>
      <c r="E8" s="22">
        <f>E5+E6-E7</f>
        <v/>
      </c>
      <c r="F8" s="22">
        <f>F5+F6-F7</f>
        <v/>
      </c>
      <c r="G8" s="22">
        <f>G5+G6-G7</f>
        <v/>
      </c>
      <c r="H8" s="13">
        <f>H5+H6-H7</f>
        <v/>
      </c>
      <c r="I8" s="13">
        <f>I5+I6-I7</f>
        <v/>
      </c>
      <c r="J8" s="13">
        <f>J5+J6-J7</f>
        <v/>
      </c>
      <c r="K8" s="13">
        <f>K5+K6-K7</f>
        <v/>
      </c>
    </row>
    <row r="10">
      <c r="A10" s="20" t="inlineStr">
        <is>
          <t>Checks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</row>
    <row r="11">
      <c r="A11" s="14" t="inlineStr">
        <is>
          <t xml:space="preserve">  Cash capex (= additions)</t>
        </is>
      </c>
      <c r="D11" s="24">
        <f>D6</f>
        <v/>
      </c>
      <c r="E11" s="24">
        <f>E6</f>
        <v/>
      </c>
      <c r="F11" s="24">
        <f>F6</f>
        <v/>
      </c>
      <c r="G11" s="24">
        <f>G6</f>
        <v/>
      </c>
      <c r="H11" s="24">
        <f>H6</f>
        <v/>
      </c>
      <c r="I11" s="24">
        <f>I6</f>
        <v/>
      </c>
      <c r="J11" s="24">
        <f>J6</f>
        <v/>
      </c>
      <c r="K11" s="24">
        <f>K6</f>
        <v/>
      </c>
    </row>
    <row r="12">
      <c r="A12" s="18" t="inlineStr">
        <is>
          <t>FY26 additions/capitalised tie to reported cash capex (~Rs 181 cr); CWIP held ~flat in forecast.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9" t="inlineStr">
        <is>
          <t>RIGHT-OF-USE (ROU) ASSETS SCHEDULE  -  Standalone, Ind AS 116 (Rs crore)</t>
        </is>
      </c>
    </row>
    <row r="3">
      <c r="A3" s="7" t="inlineStr">
        <is>
          <t>(Rs crore)</t>
        </is>
      </c>
      <c r="B3" s="8" t="n"/>
      <c r="C3" s="9" t="inlineStr">
        <is>
          <t>FY2022</t>
        </is>
      </c>
      <c r="D3" s="9" t="inlineStr">
        <is>
          <t>FY2023</t>
        </is>
      </c>
      <c r="E3" s="9" t="inlineStr">
        <is>
          <t>FY2024</t>
        </is>
      </c>
      <c r="F3" s="9" t="inlineStr">
        <is>
          <t>FY2025</t>
        </is>
      </c>
      <c r="G3" s="9" t="inlineStr">
        <is>
          <t>FY2026</t>
        </is>
      </c>
      <c r="H3" s="9" t="inlineStr">
        <is>
          <t>FY2027E</t>
        </is>
      </c>
      <c r="I3" s="9" t="inlineStr">
        <is>
          <t>FY2028E</t>
        </is>
      </c>
      <c r="J3" s="9" t="inlineStr">
        <is>
          <t>FY2029E</t>
        </is>
      </c>
      <c r="K3" s="9" t="inlineStr">
        <is>
          <t>FY2030E</t>
        </is>
      </c>
    </row>
    <row r="4">
      <c r="A4" s="20" t="inlineStr">
        <is>
          <t>ROU asset roll-forward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</row>
    <row r="5">
      <c r="A5" s="14" t="inlineStr">
        <is>
          <t>Opening ROU assets</t>
        </is>
      </c>
      <c r="C5" s="11" t="n"/>
      <c r="D5" s="22">
        <f>C9</f>
        <v/>
      </c>
      <c r="E5" s="22">
        <f>D9</f>
        <v/>
      </c>
      <c r="F5" s="22">
        <f>E9</f>
        <v/>
      </c>
      <c r="G5" s="22">
        <f>F9</f>
        <v/>
      </c>
      <c r="H5" s="13">
        <f>G9</f>
        <v/>
      </c>
      <c r="I5" s="13">
        <f>H9</f>
        <v/>
      </c>
      <c r="J5" s="13">
        <f>I9</f>
        <v/>
      </c>
      <c r="K5" s="13">
        <f>J9</f>
        <v/>
      </c>
    </row>
    <row r="6">
      <c r="A6" s="14" t="inlineStr">
        <is>
          <t xml:space="preserve">  (+) Additions &amp; remeasurements</t>
        </is>
      </c>
      <c r="C6" s="11" t="n"/>
      <c r="D6" s="22" t="n">
        <v>86</v>
      </c>
      <c r="E6" s="22" t="n">
        <v>184</v>
      </c>
      <c r="F6" s="22" t="n">
        <v>394</v>
      </c>
      <c r="G6" s="12" t="n">
        <v>82</v>
      </c>
      <c r="H6" s="13">
        <f>Assumptions!H4*Assumptions!H8</f>
        <v/>
      </c>
      <c r="I6" s="13">
        <f>Assumptions!I4*Assumptions!I8</f>
        <v/>
      </c>
      <c r="J6" s="13">
        <f>Assumptions!J4*Assumptions!J8</f>
        <v/>
      </c>
      <c r="K6" s="13">
        <f>Assumptions!K4*Assumptions!K8</f>
        <v/>
      </c>
    </row>
    <row r="7">
      <c r="A7" s="14" t="inlineStr">
        <is>
          <t xml:space="preserve">  (-) Amortisation (depreciation of ROU)</t>
        </is>
      </c>
      <c r="C7" s="11" t="n"/>
      <c r="D7" s="22" t="n">
        <v>130</v>
      </c>
      <c r="E7" s="22" t="n">
        <v>129</v>
      </c>
      <c r="F7" s="22" t="n">
        <v>147</v>
      </c>
      <c r="G7" s="12" t="n">
        <v>158</v>
      </c>
      <c r="H7" s="13">
        <f>Assumptions!H9*(H5+0.5*H6)</f>
        <v/>
      </c>
      <c r="I7" s="13">
        <f>Assumptions!I9*(I5+0.5*I6)</f>
        <v/>
      </c>
      <c r="J7" s="13">
        <f>Assumptions!J9*(J5+0.5*J6)</f>
        <v/>
      </c>
      <c r="K7" s="13">
        <f>Assumptions!K9*(K5+0.5*K6)</f>
        <v/>
      </c>
    </row>
    <row r="8">
      <c r="A8" s="14" t="inlineStr">
        <is>
          <t xml:space="preserve">  (-) Terminations, transfers &amp; other (net)</t>
        </is>
      </c>
      <c r="C8" s="11" t="n"/>
      <c r="D8" s="22" t="n">
        <v>44</v>
      </c>
      <c r="E8" s="22" t="n">
        <v>1</v>
      </c>
      <c r="F8" s="22" t="n">
        <v>17</v>
      </c>
      <c r="G8" s="22" t="n">
        <v>0</v>
      </c>
      <c r="H8" s="23" t="n">
        <v>0</v>
      </c>
      <c r="I8" s="23" t="n">
        <v>0</v>
      </c>
      <c r="J8" s="23" t="n">
        <v>0</v>
      </c>
      <c r="K8" s="23" t="n">
        <v>0</v>
      </c>
    </row>
    <row r="9">
      <c r="A9" s="10" t="inlineStr">
        <is>
          <t>Closing ROU assets</t>
        </is>
      </c>
      <c r="C9" s="22" t="n">
        <v>261</v>
      </c>
      <c r="D9" s="22">
        <f>D5+D6-D7-D8</f>
        <v/>
      </c>
      <c r="E9" s="22">
        <f>E5+E6-E7-E8</f>
        <v/>
      </c>
      <c r="F9" s="22">
        <f>F5+F6-F7-F8</f>
        <v/>
      </c>
      <c r="G9" s="22">
        <f>G5+G6-G7-G8</f>
        <v/>
      </c>
      <c r="H9" s="13">
        <f>H5+H6-H7-H8</f>
        <v/>
      </c>
      <c r="I9" s="13">
        <f>I5+I6-I7-I8</f>
        <v/>
      </c>
      <c r="J9" s="13">
        <f>J5+J6-J7-J8</f>
        <v/>
      </c>
      <c r="K9" s="13">
        <f>K5+K6-K7-K8</f>
        <v/>
      </c>
    </row>
    <row r="11">
      <c r="A11" s="20" t="inlineStr">
        <is>
          <t>Memo: lease economics (reported)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</row>
    <row r="12">
      <c r="A12" s="14" t="inlineStr">
        <is>
          <t xml:space="preserve">  Lease liabilities (closing)</t>
        </is>
      </c>
      <c r="C12" s="24" t="n">
        <v>264</v>
      </c>
      <c r="D12" s="24" t="n">
        <v>182</v>
      </c>
      <c r="E12" s="24" t="n">
        <v>240</v>
      </c>
      <c r="F12" s="24" t="n">
        <v>480</v>
      </c>
    </row>
    <row r="13">
      <c r="A13" s="14" t="inlineStr">
        <is>
          <t xml:space="preserve">  Interest on lease liabilities (P&amp;L)</t>
        </is>
      </c>
      <c r="E13" s="24" t="n">
        <v>21</v>
      </c>
      <c r="F13" s="24" t="n">
        <v>40</v>
      </c>
      <c r="G13" s="24" t="n">
        <v>37</v>
      </c>
    </row>
    <row r="14">
      <c r="A14" s="14" t="inlineStr">
        <is>
          <t xml:space="preserve">  Principal repayment of lease liabilities (CF)</t>
        </is>
      </c>
      <c r="E14" s="24" t="n">
        <v>126</v>
      </c>
      <c r="F14" s="24" t="n">
        <v>137</v>
      </c>
      <c r="G14" s="24" t="n">
        <v>143</v>
      </c>
    </row>
    <row r="16">
      <c r="A16" s="20" t="inlineStr">
        <is>
          <t>Checks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</row>
    <row r="17">
      <c r="A17" s="14" t="inlineStr">
        <is>
          <t xml:space="preserve">  Implied ROU amortisation % of opening</t>
        </is>
      </c>
      <c r="D17" s="26">
        <f>D7/D5</f>
        <v/>
      </c>
      <c r="E17" s="26">
        <f>E7/E5</f>
        <v/>
      </c>
      <c r="F17" s="26">
        <f>F7/F5</f>
        <v/>
      </c>
      <c r="G17" s="26">
        <f>G7/G5</f>
        <v/>
      </c>
      <c r="H17" s="26">
        <f>H7/H5</f>
        <v/>
      </c>
      <c r="I17" s="26">
        <f>I7/I5</f>
        <v/>
      </c>
      <c r="J17" s="26">
        <f>J7/J5</f>
        <v/>
      </c>
      <c r="K17" s="26">
        <f>K7/K5</f>
        <v/>
      </c>
    </row>
    <row r="18">
      <c r="A18" s="18" t="inlineStr">
        <is>
          <t>FY26 ROU additions/amortisation are estimates (full FY26 lease note pending); closing Rs 381 cr is reported.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9" t="inlineStr">
        <is>
          <t>SUMMARY  -  PPE, CWIP &amp; ROU  |  United Spirits (Standalone, Rs crore)</t>
        </is>
      </c>
    </row>
    <row r="3">
      <c r="A3" s="7" t="inlineStr">
        <is>
          <t>(Rs crore)</t>
        </is>
      </c>
      <c r="B3" s="8" t="n"/>
      <c r="C3" s="9" t="inlineStr">
        <is>
          <t>FY2022</t>
        </is>
      </c>
      <c r="D3" s="9" t="inlineStr">
        <is>
          <t>FY2023</t>
        </is>
      </c>
      <c r="E3" s="9" t="inlineStr">
        <is>
          <t>FY2024</t>
        </is>
      </c>
      <c r="F3" s="9" t="inlineStr">
        <is>
          <t>FY2025</t>
        </is>
      </c>
      <c r="G3" s="9" t="inlineStr">
        <is>
          <t>FY2026</t>
        </is>
      </c>
      <c r="H3" s="9" t="inlineStr">
        <is>
          <t>FY2027E</t>
        </is>
      </c>
      <c r="I3" s="9" t="inlineStr">
        <is>
          <t>FY2028E</t>
        </is>
      </c>
      <c r="J3" s="9" t="inlineStr">
        <is>
          <t>FY2029E</t>
        </is>
      </c>
      <c r="K3" s="9" t="inlineStr">
        <is>
          <t>FY2030E</t>
        </is>
      </c>
    </row>
    <row r="4">
      <c r="A4" s="20" t="inlineStr">
        <is>
          <t>Closing balances (Balance Sheet)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</row>
    <row r="5">
      <c r="A5" s="14" t="inlineStr">
        <is>
          <t>Property, plant &amp; equipment (net)</t>
        </is>
      </c>
      <c r="C5" s="22">
        <f>'PPE Schedule'!C10</f>
        <v/>
      </c>
      <c r="D5" s="22">
        <f>'PPE Schedule'!D10</f>
        <v/>
      </c>
      <c r="E5" s="22">
        <f>'PPE Schedule'!E10</f>
        <v/>
      </c>
      <c r="F5" s="22">
        <f>'PPE Schedule'!F10</f>
        <v/>
      </c>
      <c r="G5" s="22">
        <f>'PPE Schedule'!G10</f>
        <v/>
      </c>
      <c r="H5" s="13">
        <f>'PPE Schedule'!H10</f>
        <v/>
      </c>
      <c r="I5" s="13">
        <f>'PPE Schedule'!I10</f>
        <v/>
      </c>
      <c r="J5" s="13">
        <f>'PPE Schedule'!J10</f>
        <v/>
      </c>
      <c r="K5" s="13">
        <f>'PPE Schedule'!K10</f>
        <v/>
      </c>
    </row>
    <row r="6">
      <c r="A6" s="14" t="inlineStr">
        <is>
          <t>Right-of-use assets</t>
        </is>
      </c>
      <c r="C6" s="22">
        <f>'ROU Schedule'!C9</f>
        <v/>
      </c>
      <c r="D6" s="22">
        <f>'ROU Schedule'!D9</f>
        <v/>
      </c>
      <c r="E6" s="22">
        <f>'ROU Schedule'!E9</f>
        <v/>
      </c>
      <c r="F6" s="22">
        <f>'ROU Schedule'!F9</f>
        <v/>
      </c>
      <c r="G6" s="22">
        <f>'ROU Schedule'!G9</f>
        <v/>
      </c>
      <c r="H6" s="13">
        <f>'ROU Schedule'!H9</f>
        <v/>
      </c>
      <c r="I6" s="13">
        <f>'ROU Schedule'!I9</f>
        <v/>
      </c>
      <c r="J6" s="13">
        <f>'ROU Schedule'!J9</f>
        <v/>
      </c>
      <c r="K6" s="13">
        <f>'ROU Schedule'!K9</f>
        <v/>
      </c>
    </row>
    <row r="7">
      <c r="A7" s="14" t="inlineStr">
        <is>
          <t>Capital work-in-progress</t>
        </is>
      </c>
      <c r="C7" s="22">
        <f>'CWIP Schedule'!C8</f>
        <v/>
      </c>
      <c r="D7" s="22">
        <f>'CWIP Schedule'!D8</f>
        <v/>
      </c>
      <c r="E7" s="22">
        <f>'CWIP Schedule'!E8</f>
        <v/>
      </c>
      <c r="F7" s="22">
        <f>'CWIP Schedule'!F8</f>
        <v/>
      </c>
      <c r="G7" s="22">
        <f>'CWIP Schedule'!G8</f>
        <v/>
      </c>
      <c r="H7" s="13">
        <f>'CWIP Schedule'!H8</f>
        <v/>
      </c>
      <c r="I7" s="13">
        <f>'CWIP Schedule'!I8</f>
        <v/>
      </c>
      <c r="J7" s="13">
        <f>'CWIP Schedule'!J8</f>
        <v/>
      </c>
      <c r="K7" s="13">
        <f>'CWIP Schedule'!K8</f>
        <v/>
      </c>
    </row>
    <row r="8">
      <c r="A8" s="10" t="inlineStr">
        <is>
          <t>Total PPE + ROU + CWIP</t>
        </is>
      </c>
      <c r="C8" s="27">
        <f>SUM(C5:C7)</f>
        <v/>
      </c>
      <c r="D8" s="27">
        <f>SUM(D5:D7)</f>
        <v/>
      </c>
      <c r="E8" s="27">
        <f>SUM(E5:E7)</f>
        <v/>
      </c>
      <c r="F8" s="27">
        <f>SUM(F5:F7)</f>
        <v/>
      </c>
      <c r="G8" s="27">
        <f>SUM(G5:G7)</f>
        <v/>
      </c>
      <c r="H8" s="27">
        <f>SUM(H5:H7)</f>
        <v/>
      </c>
      <c r="I8" s="27">
        <f>SUM(I5:I7)</f>
        <v/>
      </c>
      <c r="J8" s="27">
        <f>SUM(J5:J7)</f>
        <v/>
      </c>
      <c r="K8" s="27">
        <f>SUM(K5:K7)</f>
        <v/>
      </c>
    </row>
    <row r="10">
      <c r="A10" s="20" t="inlineStr">
        <is>
          <t>Flows (P&amp;L / Cash flow linkage)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</row>
    <row r="11">
      <c r="A11" s="14" t="inlineStr">
        <is>
          <t>Cash capex (PPE/CWIP)</t>
        </is>
      </c>
      <c r="C11" s="22">
        <f>'CWIP Schedule'!C6</f>
        <v/>
      </c>
      <c r="D11" s="22">
        <f>'CWIP Schedule'!D6</f>
        <v/>
      </c>
      <c r="E11" s="22">
        <f>'CWIP Schedule'!E6</f>
        <v/>
      </c>
      <c r="F11" s="22">
        <f>'CWIP Schedule'!F6</f>
        <v/>
      </c>
      <c r="G11" s="22">
        <f>'CWIP Schedule'!G6</f>
        <v/>
      </c>
      <c r="H11" s="13">
        <f>'CWIP Schedule'!H6</f>
        <v/>
      </c>
      <c r="I11" s="13">
        <f>'CWIP Schedule'!I6</f>
        <v/>
      </c>
      <c r="J11" s="13">
        <f>'CWIP Schedule'!J6</f>
        <v/>
      </c>
      <c r="K11" s="13">
        <f>'CWIP Schedule'!K6</f>
        <v/>
      </c>
    </row>
    <row r="12">
      <c r="A12" s="14" t="inlineStr">
        <is>
          <t>PPE depreciation</t>
        </is>
      </c>
      <c r="C12" s="22">
        <f>'PPE Schedule'!C7</f>
        <v/>
      </c>
      <c r="D12" s="22">
        <f>'PPE Schedule'!D7</f>
        <v/>
      </c>
      <c r="E12" s="22">
        <f>'PPE Schedule'!E7</f>
        <v/>
      </c>
      <c r="F12" s="22">
        <f>'PPE Schedule'!F7</f>
        <v/>
      </c>
      <c r="G12" s="22">
        <f>'PPE Schedule'!G7</f>
        <v/>
      </c>
      <c r="H12" s="13">
        <f>'PPE Schedule'!H7</f>
        <v/>
      </c>
      <c r="I12" s="13">
        <f>'PPE Schedule'!I7</f>
        <v/>
      </c>
      <c r="J12" s="13">
        <f>'PPE Schedule'!J7</f>
        <v/>
      </c>
      <c r="K12" s="13">
        <f>'PPE Schedule'!K7</f>
        <v/>
      </c>
    </row>
    <row r="13">
      <c r="A13" s="14" t="inlineStr">
        <is>
          <t>PPE impairment</t>
        </is>
      </c>
      <c r="C13" s="22">
        <f>'PPE Schedule'!C8</f>
        <v/>
      </c>
      <c r="D13" s="22">
        <f>'PPE Schedule'!D8</f>
        <v/>
      </c>
      <c r="E13" s="22">
        <f>'PPE Schedule'!E8</f>
        <v/>
      </c>
      <c r="F13" s="22">
        <f>'PPE Schedule'!F8</f>
        <v/>
      </c>
      <c r="G13" s="22">
        <f>'PPE Schedule'!G8</f>
        <v/>
      </c>
      <c r="H13" s="13">
        <f>'PPE Schedule'!H8</f>
        <v/>
      </c>
      <c r="I13" s="13">
        <f>'PPE Schedule'!I8</f>
        <v/>
      </c>
      <c r="J13" s="13">
        <f>'PPE Schedule'!J8</f>
        <v/>
      </c>
      <c r="K13" s="13">
        <f>'PPE Schedule'!K8</f>
        <v/>
      </c>
    </row>
    <row r="14">
      <c r="A14" s="14" t="inlineStr">
        <is>
          <t>ROU amortisation</t>
        </is>
      </c>
      <c r="C14" s="22">
        <f>'ROU Schedule'!C7</f>
        <v/>
      </c>
      <c r="D14" s="22">
        <f>'ROU Schedule'!D7</f>
        <v/>
      </c>
      <c r="E14" s="22">
        <f>'ROU Schedule'!E7</f>
        <v/>
      </c>
      <c r="F14" s="22">
        <f>'ROU Schedule'!F7</f>
        <v/>
      </c>
      <c r="G14" s="22">
        <f>'ROU Schedule'!G7</f>
        <v/>
      </c>
      <c r="H14" s="13">
        <f>'ROU Schedule'!H7</f>
        <v/>
      </c>
      <c r="I14" s="13">
        <f>'ROU Schedule'!I7</f>
        <v/>
      </c>
      <c r="J14" s="13">
        <f>'ROU Schedule'!J7</f>
        <v/>
      </c>
      <c r="K14" s="13">
        <f>'ROU Schedule'!K7</f>
        <v/>
      </c>
    </row>
    <row r="15">
      <c r="A15" s="10" t="inlineStr">
        <is>
          <t>Total depreciation &amp; amortisation (PPE + ROU)</t>
        </is>
      </c>
      <c r="C15" s="27">
        <f>C12+C14</f>
        <v/>
      </c>
      <c r="D15" s="27">
        <f>D12+D14</f>
        <v/>
      </c>
      <c r="E15" s="27">
        <f>E12+E14</f>
        <v/>
      </c>
      <c r="F15" s="27">
        <f>F12+F14</f>
        <v/>
      </c>
      <c r="G15" s="27">
        <f>G12+G14</f>
        <v/>
      </c>
      <c r="H15" s="27">
        <f>H12+H14</f>
        <v/>
      </c>
      <c r="I15" s="27">
        <f>I12+I14</f>
        <v/>
      </c>
      <c r="J15" s="27">
        <f>J12+J14</f>
        <v/>
      </c>
      <c r="K15" s="27">
        <f>K12+K14</f>
        <v/>
      </c>
    </row>
    <row r="17">
      <c r="A17" s="20" t="inlineStr">
        <is>
          <t>Growth &amp; ratios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s="14" t="inlineStr">
        <is>
          <t xml:space="preserve">  Total fixed-asset base YoY growth</t>
        </is>
      </c>
      <c r="D18" s="26">
        <f>IFERROR(D8/C8-1,"")</f>
        <v/>
      </c>
      <c r="E18" s="26">
        <f>IFERROR(E8/D8-1,"")</f>
        <v/>
      </c>
      <c r="F18" s="26">
        <f>IFERROR(F8/E8-1,"")</f>
        <v/>
      </c>
      <c r="G18" s="26">
        <f>IFERROR(G8/F8-1,"")</f>
        <v/>
      </c>
      <c r="H18" s="26">
        <f>IFERROR(H8/G8-1,"")</f>
        <v/>
      </c>
      <c r="I18" s="26">
        <f>IFERROR(I8/H8-1,"")</f>
        <v/>
      </c>
      <c r="J18" s="26">
        <f>IFERROR(J8/I8-1,"")</f>
        <v/>
      </c>
      <c r="K18" s="26">
        <f>IFERROR(K8/J8-1,"")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2026-06-03T16:06:45Z</dcterms:created>
  <dcterms:modified xsi:type="dcterms:W3CDTF">2026-06-03T16:06:45Z</dcterms:modified>
</cp:coreProperties>
</file>